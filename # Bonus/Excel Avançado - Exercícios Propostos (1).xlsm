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ctrlProps/ctrlProp2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tark\Downloads\"/>
    </mc:Choice>
  </mc:AlternateContent>
  <xr:revisionPtr revIDLastSave="0" documentId="13_ncr:1_{1C87A2D3-F1E6-456E-ABCD-83B8758A4E72}" xr6:coauthVersionLast="47" xr6:coauthVersionMax="47" xr10:uidLastSave="{00000000-0000-0000-0000-000000000000}"/>
  <bookViews>
    <workbookView xWindow="-120" yWindow="-120" windowWidth="20730" windowHeight="11310" xr2:uid="{95E6252B-674D-4C1B-896E-C8091BA903E4}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6 - Previsões" sheetId="37" r:id="rId7"/>
    <sheet name="7" sheetId="7" r:id="rId8"/>
    <sheet name="8" sheetId="8" r:id="rId9"/>
    <sheet name="9" sheetId="9" r:id="rId10"/>
    <sheet name="10" sheetId="10" r:id="rId11"/>
    <sheet name="11" sheetId="11" r:id="rId12"/>
    <sheet name="12" sheetId="12" r:id="rId13"/>
    <sheet name="13" sheetId="13" r:id="rId14"/>
    <sheet name="14" sheetId="14" r:id="rId15"/>
    <sheet name="15" sheetId="15" r:id="rId16"/>
    <sheet name="16" sheetId="16" r:id="rId17"/>
    <sheet name="17" sheetId="17" r:id="rId18"/>
    <sheet name="18" sheetId="18" r:id="rId19"/>
    <sheet name="19" sheetId="19" r:id="rId20"/>
    <sheet name="20" sheetId="20" r:id="rId21"/>
    <sheet name="21" sheetId="21" r:id="rId22"/>
    <sheet name="22" sheetId="22" r:id="rId23"/>
    <sheet name="22 - Tabela Dinâmica" sheetId="39" r:id="rId24"/>
    <sheet name="23" sheetId="23" r:id="rId25"/>
    <sheet name="23 - Gráfico Dinâmico" sheetId="40" r:id="rId26"/>
    <sheet name="24" sheetId="24" r:id="rId27"/>
    <sheet name="26" sheetId="26" r:id="rId28"/>
    <sheet name="28" sheetId="27" r:id="rId29"/>
    <sheet name="30" sheetId="28" r:id="rId30"/>
    <sheet name="31" sheetId="29" r:id="rId31"/>
    <sheet name="33" sheetId="30" r:id="rId32"/>
    <sheet name="34" sheetId="31" r:id="rId33"/>
    <sheet name="35" sheetId="32" r:id="rId34"/>
    <sheet name="36" sheetId="33" r:id="rId35"/>
    <sheet name="37" sheetId="34" r:id="rId36"/>
    <sheet name="38" sheetId="35" r:id="rId37"/>
    <sheet name="42" sheetId="36" r:id="rId38"/>
  </sheets>
  <functionGroups builtInGroupCount="19"/>
  <definedNames>
    <definedName name="_xlnm._FilterDatabase" localSheetId="3" hidden="1">'4'!$E$2:$G$9</definedName>
    <definedName name="_xlcn.WorksheetConnection_ExcelAvançadoExercíciosPropostos.xlsxTabela11" hidden="1">Tabela1[]</definedName>
    <definedName name="_xlnm.Criteria" localSheetId="3">'4'!$E$2:$G$9</definedName>
    <definedName name="ID_1">'16'!$H$5:$N$5</definedName>
    <definedName name="ID_2">'16'!$H$6:$N$6</definedName>
    <definedName name="ID_3">'16'!$H$7:$N$7</definedName>
    <definedName name="ID_4">'16'!$H$8:$N$8</definedName>
    <definedName name="ID_5">'16'!$H$9:$N$9</definedName>
    <definedName name="ID_6">'16'!$H$10:$N$10</definedName>
    <definedName name="ID_7">'16'!$H$11:$N$11</definedName>
    <definedName name="ListaFrutas">'26'!$B$3:$B$10</definedName>
    <definedName name="SegmentaçãodeDados_CLIENTE">#N/A</definedName>
    <definedName name="SegmentaçãodeDados_DATA_ENTRADA">#N/A</definedName>
    <definedName name="SegmentaçãodeDados_VALOR">#N/A</definedName>
    <definedName name="tabela_teste">'26'!$A$2:$F$10</definedName>
    <definedName name="Tabela1_1" localSheetId="26" hidden="1">'24'!$B$4:$D$11</definedName>
  </definedNames>
  <calcPr calcId="191029"/>
  <pivotCaches>
    <pivotCache cacheId="0" r:id="rId39"/>
    <pivotCache cacheId="1" r:id="rId40"/>
    <pivotCache cacheId="7" r:id="rId4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2"/>
        <x14:slicerCache r:id="rId43"/>
        <x14:slicerCache r:id="rId44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" name="Tabela1" connection="WorksheetConnection_Excel Avançado - Exercícios Propostos.xlsx!Tabela1"/>
        </x15:modelTables>
      </x15:dataModel>
    </ext>
  </extLst>
</workbook>
</file>

<file path=xl/calcChain.xml><?xml version="1.0" encoding="utf-8"?>
<calcChain xmlns="http://schemas.openxmlformats.org/spreadsheetml/2006/main">
  <c r="I15" i="35" l="1"/>
  <c r="I7" i="35"/>
  <c r="I7" i="34"/>
  <c r="B12" i="32"/>
  <c r="B11" i="32"/>
  <c r="B10" i="32"/>
  <c r="B9" i="32"/>
  <c r="B8" i="32"/>
  <c r="B7" i="32"/>
  <c r="B6" i="32"/>
  <c r="B5" i="32"/>
  <c r="B4" i="32"/>
  <c r="B3" i="32"/>
  <c r="B2" i="32"/>
  <c r="B12" i="31"/>
  <c r="B11" i="31"/>
  <c r="B10" i="31"/>
  <c r="B9" i="31"/>
  <c r="B8" i="31"/>
  <c r="B7" i="31"/>
  <c r="B6" i="31"/>
  <c r="B5" i="31"/>
  <c r="B4" i="31"/>
  <c r="B3" i="31"/>
  <c r="B2" i="31"/>
  <c r="B12" i="30"/>
  <c r="B11" i="30"/>
  <c r="B10" i="30"/>
  <c r="B9" i="30"/>
  <c r="B8" i="30"/>
  <c r="B7" i="30"/>
  <c r="B6" i="30"/>
  <c r="B5" i="30"/>
  <c r="B4" i="30"/>
  <c r="B3" i="30"/>
  <c r="B2" i="30"/>
  <c r="B3" i="29"/>
  <c r="B4" i="29"/>
  <c r="B5" i="29"/>
  <c r="B6" i="29"/>
  <c r="B7" i="29"/>
  <c r="B8" i="29"/>
  <c r="B9" i="29"/>
  <c r="B10" i="29"/>
  <c r="B11" i="29"/>
  <c r="B12" i="29"/>
  <c r="B2" i="29"/>
  <c r="B10" i="27"/>
  <c r="E11" i="26"/>
  <c r="F4" i="26"/>
  <c r="F5" i="26" s="1"/>
  <c r="D6" i="20"/>
  <c r="D7" i="20"/>
  <c r="D8" i="20"/>
  <c r="D9" i="20"/>
  <c r="D10" i="20"/>
  <c r="D11" i="20"/>
  <c r="D5" i="20"/>
  <c r="F4" i="19"/>
  <c r="F5" i="19"/>
  <c r="F6" i="19"/>
  <c r="F7" i="19"/>
  <c r="F8" i="19"/>
  <c r="F9" i="19"/>
  <c r="F3" i="19"/>
  <c r="G6" i="15"/>
  <c r="G7" i="15"/>
  <c r="G8" i="15"/>
  <c r="G9" i="15"/>
  <c r="E17" i="15" s="1"/>
  <c r="G10" i="15"/>
  <c r="G11" i="15"/>
  <c r="G5" i="15"/>
  <c r="E4" i="14"/>
  <c r="E5" i="14"/>
  <c r="E6" i="14"/>
  <c r="E7" i="14"/>
  <c r="E8" i="14"/>
  <c r="E9" i="14"/>
  <c r="E3" i="14"/>
  <c r="F14" i="13"/>
  <c r="F15" i="13"/>
  <c r="F16" i="13"/>
  <c r="F17" i="13"/>
  <c r="F18" i="13"/>
  <c r="F19" i="13"/>
  <c r="F13" i="13"/>
  <c r="B14" i="13"/>
  <c r="B15" i="13"/>
  <c r="B16" i="13"/>
  <c r="B17" i="13"/>
  <c r="B18" i="13"/>
  <c r="B19" i="13"/>
  <c r="B13" i="13"/>
  <c r="H7" i="12"/>
  <c r="H6" i="12"/>
  <c r="H5" i="12"/>
  <c r="H4" i="12"/>
  <c r="H3" i="12"/>
  <c r="H2" i="12"/>
  <c r="I7" i="11"/>
  <c r="I8" i="11"/>
  <c r="I6" i="11"/>
  <c r="I5" i="11"/>
  <c r="I4" i="11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3" i="10"/>
  <c r="D8" i="9"/>
  <c r="C8" i="9"/>
  <c r="B8" i="9"/>
  <c r="D6" i="8"/>
  <c r="D7" i="8"/>
  <c r="D8" i="8"/>
  <c r="D9" i="8"/>
  <c r="D10" i="8"/>
  <c r="D11" i="8"/>
  <c r="D5" i="8"/>
  <c r="B8" i="5"/>
  <c r="C3" i="2"/>
  <c r="C5" i="2"/>
  <c r="C6" i="2"/>
  <c r="C7" i="2"/>
  <c r="C8" i="2"/>
  <c r="C9" i="2"/>
  <c r="C4" i="2"/>
  <c r="C3" i="32"/>
  <c r="C12" i="31"/>
  <c r="C5" i="31"/>
  <c r="C10" i="30"/>
  <c r="C12" i="29"/>
  <c r="C10" i="31"/>
  <c r="C8" i="30"/>
  <c r="C8" i="31"/>
  <c r="C6" i="30"/>
  <c r="C2" i="32"/>
  <c r="C12" i="32"/>
  <c r="C10" i="32"/>
  <c r="C8" i="32"/>
  <c r="C6" i="31"/>
  <c r="C9" i="30"/>
  <c r="C4" i="30"/>
  <c r="C5" i="29"/>
  <c r="C4" i="32"/>
  <c r="C5" i="30"/>
  <c r="C6" i="29"/>
  <c r="C10" i="29"/>
  <c r="C11" i="32"/>
  <c r="C6" i="32"/>
  <c r="C4" i="31"/>
  <c r="C7" i="30"/>
  <c r="C2" i="30"/>
  <c r="C9" i="29"/>
  <c r="C2" i="31"/>
  <c r="C3" i="29"/>
  <c r="C3" i="30"/>
  <c r="C9" i="32"/>
  <c r="C7" i="32"/>
  <c r="C5" i="32"/>
  <c r="C11" i="31"/>
  <c r="C7" i="31"/>
  <c r="C12" i="30"/>
  <c r="C11" i="29"/>
  <c r="C2" i="29"/>
  <c r="C3" i="31"/>
  <c r="C4" i="29"/>
  <c r="C11" i="30"/>
  <c r="C8" i="29"/>
  <c r="C9" i="31"/>
  <c r="C7" i="29"/>
  <c r="C6" i="37"/>
  <c r="D6" i="37"/>
  <c r="E6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4F5594-106C-4414-8285-57895B3564CB}" keepAlive="1" name="ModelConnection_Tabela1_1" description="Modelo de Dados" type="5" refreshedVersion="7" minRefreshableVersion="5" saveData="1">
    <dbPr connection="Data Model Connection" command="Tabela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83F97CE5-BBE4-4F96-B3C6-739806C056B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7A46DB0A-317F-49FD-9520-68AA1BF20976}" name="WorksheetConnection_Excel Avançado - Exercícios Propostos.xlsx!Tabela1" type="102" refreshedVersion="7" minRefreshableVersion="5">
    <extLst>
      <ext xmlns:x15="http://schemas.microsoft.com/office/spreadsheetml/2010/11/main" uri="{DE250136-89BD-433C-8126-D09CA5730AF9}">
        <x15:connection id="Tabela1" autoDelete="1">
          <x15:rangePr sourceName="_xlcn.WorksheetConnection_ExcelAvançadoExercíciosPropostos.xlsxTabela11"/>
        </x15:connection>
      </ext>
    </extLst>
  </connection>
</connections>
</file>

<file path=xl/sharedStrings.xml><?xml version="1.0" encoding="utf-8"?>
<sst xmlns="http://schemas.openxmlformats.org/spreadsheetml/2006/main" count="825" uniqueCount="384">
  <si>
    <t>VENDEDORES</t>
  </si>
  <si>
    <t>JORGE</t>
  </si>
  <si>
    <t>RODRIGO</t>
  </si>
  <si>
    <t>FÁTIMA</t>
  </si>
  <si>
    <t>CLAUDIA</t>
  </si>
  <si>
    <t>MARIA</t>
  </si>
  <si>
    <t>ROBERTO</t>
  </si>
  <si>
    <t>JOÃO</t>
  </si>
  <si>
    <t>CPF</t>
  </si>
  <si>
    <t>TELEFONE</t>
  </si>
  <si>
    <t>DATA DE PAGAMENTO</t>
  </si>
  <si>
    <t>TOTAL DE VENDAS</t>
  </si>
  <si>
    <t>COMISSÃO</t>
  </si>
  <si>
    <t>VENDAS</t>
  </si>
  <si>
    <t>VALOR DA COMISSÃO</t>
  </si>
  <si>
    <t>DATA ENTRADA</t>
  </si>
  <si>
    <t>CLIENTE</t>
  </si>
  <si>
    <t>VALOR</t>
  </si>
  <si>
    <t>EMPRESA A</t>
  </si>
  <si>
    <t>EMPRESA B</t>
  </si>
  <si>
    <t>EMPRESA C</t>
  </si>
  <si>
    <t>EMPRESA F</t>
  </si>
  <si>
    <t>EMPRESA G</t>
  </si>
  <si>
    <t>EMPRESA H</t>
  </si>
  <si>
    <t>CONTROLE</t>
  </si>
  <si>
    <t>REGIÃO</t>
  </si>
  <si>
    <t>NORTE</t>
  </si>
  <si>
    <t>NORDESTE</t>
  </si>
  <si>
    <t>OESTE</t>
  </si>
  <si>
    <t>SUDESTE</t>
  </si>
  <si>
    <t>FILTRO AVANÇADO</t>
  </si>
  <si>
    <t>CONTAS</t>
  </si>
  <si>
    <t>ÁGUA</t>
  </si>
  <si>
    <t>FORÇA</t>
  </si>
  <si>
    <t>INTERNET</t>
  </si>
  <si>
    <t>GASTOS</t>
  </si>
  <si>
    <t>TOTAL</t>
  </si>
  <si>
    <t>FARMÁCIA</t>
  </si>
  <si>
    <t>REMÉDIO</t>
  </si>
  <si>
    <t>BACTRIN F</t>
  </si>
  <si>
    <t>CAPTOPRIL</t>
  </si>
  <si>
    <t>CABOMED</t>
  </si>
  <si>
    <t>ACICLOVIR</t>
  </si>
  <si>
    <t>PREVISÕES</t>
  </si>
  <si>
    <t>DATAS</t>
  </si>
  <si>
    <t>VALORES</t>
  </si>
  <si>
    <t>Previsão(VALORES)</t>
  </si>
  <si>
    <t>Limite de Confiança Inferior(VALORES)</t>
  </si>
  <si>
    <t>Limite de Confiança Superior(VALORES)</t>
  </si>
  <si>
    <t>CAIXA</t>
  </si>
  <si>
    <t>ATENDENTE</t>
  </si>
  <si>
    <t>TIPO DE RECEBIMENTO</t>
  </si>
  <si>
    <t>VALOR RECEBIDO</t>
  </si>
  <si>
    <t>LOTÉRICA</t>
  </si>
  <si>
    <t>CARLOS</t>
  </si>
  <si>
    <t>CARLA</t>
  </si>
  <si>
    <t>ANTONIO</t>
  </si>
  <si>
    <t>PEDRO</t>
  </si>
  <si>
    <t>TIAGO</t>
  </si>
  <si>
    <t>TADEU</t>
  </si>
  <si>
    <t>DOUGLAS</t>
  </si>
  <si>
    <t>MENEZES</t>
  </si>
  <si>
    <t>REZENDE</t>
  </si>
  <si>
    <t>ÁGUA E FORÇA</t>
  </si>
  <si>
    <t>BOLETOS</t>
  </si>
  <si>
    <t>PROMISSÓRIAS</t>
  </si>
  <si>
    <t>EMPRÉSTIMOS</t>
  </si>
  <si>
    <t>CRONOGRAMA</t>
  </si>
  <si>
    <t>DATA INICIAL</t>
  </si>
  <si>
    <t>TAREFAS</t>
  </si>
  <si>
    <t>DIAS</t>
  </si>
  <si>
    <t>DATA FINAL</t>
  </si>
  <si>
    <t>Reunião de Apresentação</t>
  </si>
  <si>
    <t>Seleção de Equipe</t>
  </si>
  <si>
    <t>Reunião de Equipes</t>
  </si>
  <si>
    <t>Criação do Projeto</t>
  </si>
  <si>
    <t>Desenvolvimento</t>
  </si>
  <si>
    <t>Reunião Final</t>
  </si>
  <si>
    <t>Apresentação do Projeto</t>
  </si>
  <si>
    <t>FERIADOS</t>
  </si>
  <si>
    <t>Data</t>
  </si>
  <si>
    <t>Comemoração</t>
  </si>
  <si>
    <t>Ano Novo</t>
  </si>
  <si>
    <t>Carnaval</t>
  </si>
  <si>
    <t>Quarta-feira de cinzas</t>
  </si>
  <si>
    <t>Sexta-feira Santa</t>
  </si>
  <si>
    <t>Tiradentes</t>
  </si>
  <si>
    <t>Dia do Trabalho</t>
  </si>
  <si>
    <t>Corpus Christi</t>
  </si>
  <si>
    <t>Dia da Independência do Brasil</t>
  </si>
  <si>
    <t>Nossa Senhora Aparecida</t>
  </si>
  <si>
    <t>Finados</t>
  </si>
  <si>
    <t>Proclamação da República</t>
  </si>
  <si>
    <t>Natal</t>
  </si>
  <si>
    <t>Valor Máx.</t>
  </si>
  <si>
    <t>Valor Mín.</t>
  </si>
  <si>
    <t>Comissão Referente</t>
  </si>
  <si>
    <t>Valor da Procura</t>
  </si>
  <si>
    <t>Comissão</t>
  </si>
  <si>
    <t>PROCH</t>
  </si>
  <si>
    <t>CONTATOS</t>
  </si>
  <si>
    <t>ID</t>
  </si>
  <si>
    <t>Nome</t>
  </si>
  <si>
    <t>Cidade</t>
  </si>
  <si>
    <t>E-mail</t>
  </si>
  <si>
    <t>Whatsapp</t>
  </si>
  <si>
    <t>Fixo</t>
  </si>
  <si>
    <t>Referência</t>
  </si>
  <si>
    <t>índice</t>
  </si>
  <si>
    <t>Anderson</t>
  </si>
  <si>
    <t>Ana Paula</t>
  </si>
  <si>
    <t>Juliane</t>
  </si>
  <si>
    <t>Gustavo</t>
  </si>
  <si>
    <t>Leonardo</t>
  </si>
  <si>
    <t>Renato</t>
  </si>
  <si>
    <t>Ederson</t>
  </si>
  <si>
    <t>Heloísa</t>
  </si>
  <si>
    <t>Luana</t>
  </si>
  <si>
    <t>Giovane</t>
  </si>
  <si>
    <t>Camila</t>
  </si>
  <si>
    <t>Maria Eduarda</t>
  </si>
  <si>
    <t>Lucia</t>
  </si>
  <si>
    <t>Curitiba</t>
  </si>
  <si>
    <t>São Paulo</t>
  </si>
  <si>
    <t>Taquaritinga</t>
  </si>
  <si>
    <t>Rio de Janeiro</t>
  </si>
  <si>
    <t>Barretos</t>
  </si>
  <si>
    <t>ana@email.com</t>
  </si>
  <si>
    <t>ju@email.com</t>
  </si>
  <si>
    <t>gu@email.com</t>
  </si>
  <si>
    <t>leo@email.com</t>
  </si>
  <si>
    <t>re@email.com</t>
  </si>
  <si>
    <t>ed@email.com</t>
  </si>
  <si>
    <t>helo@email.com</t>
  </si>
  <si>
    <t>lu@email.com</t>
  </si>
  <si>
    <t>giovane@email.com</t>
  </si>
  <si>
    <t>camila@email.com</t>
  </si>
  <si>
    <t>duda@email.com</t>
  </si>
  <si>
    <t>ary@email.com</t>
  </si>
  <si>
    <t>Aryadine</t>
  </si>
  <si>
    <t>lucia@email.com</t>
  </si>
  <si>
    <t>anderson@email.com</t>
  </si>
  <si>
    <t>índice + corresp</t>
  </si>
  <si>
    <t>ID_Funcionario</t>
  </si>
  <si>
    <t>NOME</t>
  </si>
  <si>
    <t>CIDADE</t>
  </si>
  <si>
    <t>E-MAIL</t>
  </si>
  <si>
    <t>WHATSAPP</t>
  </si>
  <si>
    <t>FIXO</t>
  </si>
  <si>
    <t>ADULTOS</t>
  </si>
  <si>
    <t>CRIANÇAS</t>
  </si>
  <si>
    <t>IDADE (ANOS)</t>
  </si>
  <si>
    <t>CONVITE</t>
  </si>
  <si>
    <t>Pai</t>
  </si>
  <si>
    <t>Mãe</t>
  </si>
  <si>
    <t>Bebê</t>
  </si>
  <si>
    <t>Antonio</t>
  </si>
  <si>
    <t>Julia</t>
  </si>
  <si>
    <t>Luiza</t>
  </si>
  <si>
    <t>Maria</t>
  </si>
  <si>
    <t>Zeca</t>
  </si>
  <si>
    <t>José</t>
  </si>
  <si>
    <t>Helena</t>
  </si>
  <si>
    <t>Bruna</t>
  </si>
  <si>
    <t>Carlos</t>
  </si>
  <si>
    <t>Augusta</t>
  </si>
  <si>
    <t>Mariana</t>
  </si>
  <si>
    <t>Adriano</t>
  </si>
  <si>
    <t>Carlinha</t>
  </si>
  <si>
    <t>Eduardo</t>
  </si>
  <si>
    <t>Mariusa</t>
  </si>
  <si>
    <t>OK</t>
  </si>
  <si>
    <t>Confirmado</t>
  </si>
  <si>
    <t>Núm. Convidados</t>
  </si>
  <si>
    <t>Tem Filhos</t>
  </si>
  <si>
    <t>Convites enviados</t>
  </si>
  <si>
    <t>Confirmados</t>
  </si>
  <si>
    <t>Crianças (3 anos ou mais)</t>
  </si>
  <si>
    <t>Crianças (entre 1 e 3 anos)</t>
  </si>
  <si>
    <t>ID DO CLIENTE</t>
  </si>
  <si>
    <t>VALOR DO EMPRÉSTIMO</t>
  </si>
  <si>
    <t>TAXA DE JUROS/MÊS</t>
  </si>
  <si>
    <t>Nº DE PARCELAS</t>
  </si>
  <si>
    <t>PARCELA</t>
  </si>
  <si>
    <t>APLICAÇÕES</t>
  </si>
  <si>
    <t>Daniel</t>
  </si>
  <si>
    <t>Pedro</t>
  </si>
  <si>
    <t>Rodrigo</t>
  </si>
  <si>
    <t>Tadeu</t>
  </si>
  <si>
    <t>Simão</t>
  </si>
  <si>
    <t>Thiago</t>
  </si>
  <si>
    <t>TOTAL A SER PAGO</t>
  </si>
  <si>
    <t>Nº PARCELAS</t>
  </si>
  <si>
    <t>VALOR DA PARCELA</t>
  </si>
  <si>
    <t>VALOR PRESENTE</t>
  </si>
  <si>
    <t xml:space="preserve"> </t>
  </si>
  <si>
    <t>Aplicar comissão</t>
  </si>
  <si>
    <t>Funcionário</t>
  </si>
  <si>
    <t>Salário</t>
  </si>
  <si>
    <t>Com comissão</t>
  </si>
  <si>
    <t>Total</t>
  </si>
  <si>
    <t>[+]Vendas</t>
  </si>
  <si>
    <t>Jane</t>
  </si>
  <si>
    <t>Paulo</t>
  </si>
  <si>
    <t>Alex</t>
  </si>
  <si>
    <t>Bonificação</t>
  </si>
  <si>
    <t>BONIFICAÇÃO</t>
  </si>
  <si>
    <t>Com bonificação</t>
  </si>
  <si>
    <t>Vendas</t>
  </si>
  <si>
    <t>FUNCIONÁRIOS</t>
  </si>
  <si>
    <t>DATA</t>
  </si>
  <si>
    <t>PRODUTO</t>
  </si>
  <si>
    <t>QUANTIDADE</t>
  </si>
  <si>
    <t>VALIDAÇÃO</t>
  </si>
  <si>
    <t>MARCOS</t>
  </si>
  <si>
    <t>PAULO</t>
  </si>
  <si>
    <t>RICARDO</t>
  </si>
  <si>
    <t>CANETA</t>
  </si>
  <si>
    <t>CADERNO</t>
  </si>
  <si>
    <t>LÁPIS</t>
  </si>
  <si>
    <t>ESTOJO</t>
  </si>
  <si>
    <t>MOCHILA</t>
  </si>
  <si>
    <t>AGENDA</t>
  </si>
  <si>
    <t>CALCULADORA</t>
  </si>
  <si>
    <t>MÊS</t>
  </si>
  <si>
    <t>VERBA</t>
  </si>
  <si>
    <t>SETOR 1</t>
  </si>
  <si>
    <t>SETOR 2</t>
  </si>
  <si>
    <t>JANEIRO</t>
  </si>
  <si>
    <t>FEVEREIRO</t>
  </si>
  <si>
    <t>MARÇO</t>
  </si>
  <si>
    <t>ABRIL</t>
  </si>
  <si>
    <t>MAIO</t>
  </si>
  <si>
    <t>JUNHO</t>
  </si>
  <si>
    <t>JULHO</t>
  </si>
  <si>
    <t>VENDEDOR</t>
  </si>
  <si>
    <t>1º BIMESTRE</t>
  </si>
  <si>
    <t>2º BIMESTRE</t>
  </si>
  <si>
    <t>3º BIMESTRE</t>
  </si>
  <si>
    <t>4º BIMESTRE</t>
  </si>
  <si>
    <t>MATHEUS</t>
  </si>
  <si>
    <t>CESAR</t>
  </si>
  <si>
    <t>META</t>
  </si>
  <si>
    <t>QUE MÊS VENDEU MAIS?</t>
  </si>
  <si>
    <t>Divisor igual a zero</t>
  </si>
  <si>
    <t>Fórmula errada</t>
  </si>
  <si>
    <t>Argumento Errado</t>
  </si>
  <si>
    <t>Soma usando String</t>
  </si>
  <si>
    <t>TRATANDO ERROS</t>
  </si>
  <si>
    <t>MARCA</t>
  </si>
  <si>
    <t>MODELO</t>
  </si>
  <si>
    <t>ANO</t>
  </si>
  <si>
    <t>PREÇO</t>
  </si>
  <si>
    <t>Janeiro</t>
  </si>
  <si>
    <t>Fevereiro</t>
  </si>
  <si>
    <t>Março</t>
  </si>
  <si>
    <t>Abril</t>
  </si>
  <si>
    <t>Maio</t>
  </si>
  <si>
    <t>Junho</t>
  </si>
  <si>
    <t>Aline</t>
  </si>
  <si>
    <t>Laís</t>
  </si>
  <si>
    <t>Ana</t>
  </si>
  <si>
    <t>FIAT</t>
  </si>
  <si>
    <t>HYUNDAI</t>
  </si>
  <si>
    <t>VOLKSWAGEN</t>
  </si>
  <si>
    <t>FORD</t>
  </si>
  <si>
    <t>CHEVY</t>
  </si>
  <si>
    <t>TORO</t>
  </si>
  <si>
    <t>CRUZE</t>
  </si>
  <si>
    <t>HB20</t>
  </si>
  <si>
    <t>ARGO</t>
  </si>
  <si>
    <t>JETTA</t>
  </si>
  <si>
    <t>ONIX</t>
  </si>
  <si>
    <t>UP</t>
  </si>
  <si>
    <t>CRETA</t>
  </si>
  <si>
    <t>MOBI</t>
  </si>
  <si>
    <t>GOLF</t>
  </si>
  <si>
    <t>FUSION</t>
  </si>
  <si>
    <t>UNO</t>
  </si>
  <si>
    <t>FOX</t>
  </si>
  <si>
    <t>PRISMA</t>
  </si>
  <si>
    <t>NEW FIESTA</t>
  </si>
  <si>
    <t>ECOSPORT</t>
  </si>
  <si>
    <t>SANTA FÉ</t>
  </si>
  <si>
    <t>Rótulos de Coluna</t>
  </si>
  <si>
    <t>Total Geral</t>
  </si>
  <si>
    <t>Rótulos de Linha</t>
  </si>
  <si>
    <t>Soma de PREÇO</t>
  </si>
  <si>
    <t>Maçã</t>
  </si>
  <si>
    <t>Banana</t>
  </si>
  <si>
    <t>Laranja</t>
  </si>
  <si>
    <t>A</t>
  </si>
  <si>
    <t>B</t>
  </si>
  <si>
    <t>C</t>
  </si>
  <si>
    <t>D</t>
  </si>
  <si>
    <t>E</t>
  </si>
  <si>
    <t>Número de Filhos</t>
  </si>
  <si>
    <t>Data de Nascimento</t>
  </si>
  <si>
    <t>Nome dos Pais</t>
  </si>
  <si>
    <t>João</t>
  </si>
  <si>
    <t>Email:</t>
  </si>
  <si>
    <t>Orçamento</t>
  </si>
  <si>
    <t>Nome:</t>
  </si>
  <si>
    <t>Produto</t>
  </si>
  <si>
    <t>Quantidade</t>
  </si>
  <si>
    <t>Valor Unitário</t>
  </si>
  <si>
    <t>Valor Total</t>
  </si>
  <si>
    <t>Tijolos</t>
  </si>
  <si>
    <t>Cimento</t>
  </si>
  <si>
    <t>10 sacos</t>
  </si>
  <si>
    <t>Areia</t>
  </si>
  <si>
    <t>2 m³</t>
  </si>
  <si>
    <t>Vergalhões</t>
  </si>
  <si>
    <t>20 barras</t>
  </si>
  <si>
    <t>Telhas de cerâmica</t>
  </si>
  <si>
    <t>Tinta branca</t>
  </si>
  <si>
    <t>5 latas</t>
  </si>
  <si>
    <t>Pisos cerâmicos</t>
  </si>
  <si>
    <t>50 m²</t>
  </si>
  <si>
    <t>Portas de madeira</t>
  </si>
  <si>
    <t>5 unidades</t>
  </si>
  <si>
    <t>Janelas de alumínio</t>
  </si>
  <si>
    <t>10 unidades</t>
  </si>
  <si>
    <t>Tubos de PVC</t>
  </si>
  <si>
    <t>20 metros</t>
  </si>
  <si>
    <t>Código</t>
  </si>
  <si>
    <t>Emitido por:</t>
  </si>
  <si>
    <t>Número</t>
  </si>
  <si>
    <t>Quadrado</t>
  </si>
  <si>
    <t>Função</t>
  </si>
  <si>
    <t>Despesa</t>
  </si>
  <si>
    <t>Valor Mensal</t>
  </si>
  <si>
    <t>Aluguel</t>
  </si>
  <si>
    <t>Contas de Luz</t>
  </si>
  <si>
    <t>Contas de Água</t>
  </si>
  <si>
    <t>Internet</t>
  </si>
  <si>
    <t>Transporte</t>
  </si>
  <si>
    <t>Alimentação</t>
  </si>
  <si>
    <t>Lazer</t>
  </si>
  <si>
    <t>Saúde</t>
  </si>
  <si>
    <t>Educação</t>
  </si>
  <si>
    <t>Outras Despesas</t>
  </si>
  <si>
    <t>Total de Despesas</t>
  </si>
  <si>
    <t>Descrição</t>
  </si>
  <si>
    <t>Categoria</t>
  </si>
  <si>
    <t>Valor</t>
  </si>
  <si>
    <t>Receita</t>
  </si>
  <si>
    <t>Trabalho Freelance</t>
  </si>
  <si>
    <t>Aluguel do imóvel</t>
  </si>
  <si>
    <t>Venda de itens usados</t>
  </si>
  <si>
    <t>Outras Receitas</t>
  </si>
  <si>
    <t>Moradia</t>
  </si>
  <si>
    <t>Supermercado</t>
  </si>
  <si>
    <t>Contas de energia</t>
  </si>
  <si>
    <t>Serviços</t>
  </si>
  <si>
    <t>Entretenimento</t>
  </si>
  <si>
    <t>Total Despesas</t>
  </si>
  <si>
    <t>Total Receitas</t>
  </si>
  <si>
    <t>Despesas 1</t>
  </si>
  <si>
    <t>Quantidade Inicial</t>
  </si>
  <si>
    <t>Entradas</t>
  </si>
  <si>
    <t>Saídas</t>
  </si>
  <si>
    <t>Quantidade Atual</t>
  </si>
  <si>
    <t>Aspirina</t>
  </si>
  <si>
    <t>Analgésico</t>
  </si>
  <si>
    <t>Paracetamol</t>
  </si>
  <si>
    <t>Amoxicilina</t>
  </si>
  <si>
    <t>Antibiótico</t>
  </si>
  <si>
    <t>Omeprazol</t>
  </si>
  <si>
    <t>Antiácido</t>
  </si>
  <si>
    <t>Dipirona</t>
  </si>
  <si>
    <t>Loratadina</t>
  </si>
  <si>
    <t>Antialérgico</t>
  </si>
  <si>
    <t>Insulina</t>
  </si>
  <si>
    <t>Medicamento</t>
  </si>
  <si>
    <t>Vitamina C</t>
  </si>
  <si>
    <t>Suplemento</t>
  </si>
  <si>
    <t>Atadura</t>
  </si>
  <si>
    <t>Curativo</t>
  </si>
  <si>
    <t>Soro Fisiológico</t>
  </si>
  <si>
    <t>Solução</t>
  </si>
  <si>
    <t>Produtos</t>
  </si>
  <si>
    <t>Soma de Quantidade Inicial</t>
  </si>
  <si>
    <t>Soma de Quantidade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</si>
</sst>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R$&quot;\ #,##0;[Red]\-&quot;R$&quot;\ #,##0"/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&quot;.&quot;000&quot;.&quot;000&quot;-&quot;00"/>
    <numFmt numFmtId="165" formatCode="\(00\)\ 0000&quot;-&quot;0000"/>
    <numFmt numFmtId="166" formatCode="\(00\)\ 00000000"/>
    <numFmt numFmtId="167" formatCode="0;\-0;;@"/>
    <numFmt numFmtId="168" formatCode="@@@@@@@@@"/>
    <numFmt numFmtId="169" formatCode="dd/mm/yy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rgb="FF00B050"/>
      <name val="Aharoni"/>
      <charset val="177"/>
    </font>
    <font>
      <b/>
      <sz val="12"/>
      <color theme="1"/>
      <name val="Aharoni"/>
      <charset val="177"/>
    </font>
    <font>
      <b/>
      <sz val="11"/>
      <color theme="1"/>
      <name val="Aharoni"/>
      <charset val="177"/>
    </font>
    <font>
      <sz val="11"/>
      <color theme="1"/>
      <name val="Aharoni"/>
      <charset val="177"/>
    </font>
    <font>
      <sz val="11"/>
      <color theme="9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theme="1"/>
      <name val="Aharoni"/>
    </font>
    <font>
      <b/>
      <sz val="11"/>
      <color rgb="FF00B0F0"/>
      <name val="Calibri"/>
      <family val="2"/>
      <scheme val="minor"/>
    </font>
    <font>
      <b/>
      <sz val="11"/>
      <color theme="0"/>
      <name val="Aharoni"/>
    </font>
    <font>
      <b/>
      <sz val="12"/>
      <color theme="0"/>
      <name val="Aharoni"/>
    </font>
    <font>
      <b/>
      <i/>
      <sz val="11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44" fontId="0" fillId="0" borderId="1" xfId="1" applyFont="1" applyBorder="1"/>
    <xf numFmtId="0" fontId="4" fillId="0" borderId="1" xfId="0" applyFont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3" borderId="1" xfId="0" applyFont="1" applyFill="1" applyBorder="1"/>
    <xf numFmtId="0" fontId="0" fillId="4" borderId="1" xfId="0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44" fontId="0" fillId="4" borderId="1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44" fontId="4" fillId="0" borderId="0" xfId="1" applyFont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44" fontId="0" fillId="0" borderId="0" xfId="0" applyNumberFormat="1"/>
    <xf numFmtId="0" fontId="4" fillId="0" borderId="0" xfId="0" applyFont="1"/>
    <xf numFmtId="0" fontId="4" fillId="5" borderId="1" xfId="0" applyFont="1" applyFill="1" applyBorder="1"/>
    <xf numFmtId="9" fontId="0" fillId="0" borderId="1" xfId="0" applyNumberFormat="1" applyBorder="1"/>
    <xf numFmtId="9" fontId="0" fillId="0" borderId="3" xfId="0" applyNumberFormat="1" applyBorder="1"/>
    <xf numFmtId="44" fontId="0" fillId="0" borderId="3" xfId="1" applyFont="1" applyBorder="1"/>
    <xf numFmtId="44" fontId="3" fillId="0" borderId="3" xfId="1" applyFont="1" applyBorder="1"/>
    <xf numFmtId="44" fontId="3" fillId="0" borderId="1" xfId="1" applyFont="1" applyBorder="1"/>
    <xf numFmtId="44" fontId="12" fillId="0" borderId="3" xfId="1" applyFont="1" applyBorder="1"/>
    <xf numFmtId="44" fontId="12" fillId="0" borderId="1" xfId="1" applyFont="1" applyBorder="1"/>
    <xf numFmtId="0" fontId="13" fillId="0" borderId="4" xfId="0" applyFont="1" applyBorder="1"/>
    <xf numFmtId="0" fontId="14" fillId="0" borderId="5" xfId="0" applyFont="1" applyBorder="1"/>
    <xf numFmtId="0" fontId="4" fillId="0" borderId="4" xfId="0" applyFont="1" applyBorder="1"/>
    <xf numFmtId="0" fontId="4" fillId="0" borderId="6" xfId="0" applyFont="1" applyBorder="1"/>
    <xf numFmtId="9" fontId="0" fillId="6" borderId="3" xfId="2" applyFont="1" applyFill="1" applyBorder="1"/>
    <xf numFmtId="9" fontId="0" fillId="6" borderId="1" xfId="2" applyFont="1" applyFill="1" applyBorder="1"/>
    <xf numFmtId="0" fontId="15" fillId="2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0" xfId="0" applyFont="1" applyFill="1"/>
    <xf numFmtId="0" fontId="0" fillId="6" borderId="1" xfId="0" applyFill="1" applyBorder="1" applyAlignment="1">
      <alignment horizontal="center"/>
    </xf>
    <xf numFmtId="0" fontId="16" fillId="6" borderId="1" xfId="3" applyFill="1" applyBorder="1" applyAlignment="1">
      <alignment horizontal="center"/>
    </xf>
    <xf numFmtId="166" fontId="0" fillId="6" borderId="1" xfId="0" applyNumberFormat="1" applyFill="1" applyBorder="1" applyAlignment="1">
      <alignment horizontal="center"/>
    </xf>
    <xf numFmtId="0" fontId="17" fillId="6" borderId="1" xfId="0" applyFont="1" applyFill="1" applyBorder="1" applyAlignment="1">
      <alignment horizontal="center"/>
    </xf>
    <xf numFmtId="0" fontId="18" fillId="6" borderId="1" xfId="0" applyFont="1" applyFill="1" applyBorder="1" applyAlignment="1">
      <alignment horizontal="center"/>
    </xf>
    <xf numFmtId="166" fontId="18" fillId="6" borderId="1" xfId="0" applyNumberFormat="1" applyFont="1" applyFill="1" applyBorder="1" applyAlignment="1">
      <alignment horizontal="center"/>
    </xf>
    <xf numFmtId="166" fontId="17" fillId="6" borderId="1" xfId="0" applyNumberFormat="1" applyFont="1" applyFill="1" applyBorder="1" applyAlignment="1">
      <alignment horizontal="center"/>
    </xf>
    <xf numFmtId="0" fontId="7" fillId="0" borderId="0" xfId="0" applyFont="1"/>
    <xf numFmtId="0" fontId="0" fillId="9" borderId="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4" fillId="10" borderId="1" xfId="0" applyFont="1" applyFill="1" applyBorder="1"/>
    <xf numFmtId="0" fontId="0" fillId="0" borderId="0" xfId="0" applyAlignment="1">
      <alignment horizontal="center" vertical="center"/>
    </xf>
    <xf numFmtId="0" fontId="21" fillId="12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44" fontId="0" fillId="13" borderId="1" xfId="1" applyFont="1" applyFill="1" applyBorder="1" applyAlignment="1">
      <alignment horizontal="center" vertical="center"/>
    </xf>
    <xf numFmtId="9" fontId="0" fillId="13" borderId="1" xfId="0" applyNumberFormat="1" applyFill="1" applyBorder="1" applyAlignment="1">
      <alignment horizontal="center" vertical="center"/>
    </xf>
    <xf numFmtId="8" fontId="0" fillId="13" borderId="1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8" fontId="0" fillId="13" borderId="1" xfId="1" applyNumberFormat="1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0" borderId="1" xfId="1" applyFont="1" applyFill="1" applyBorder="1" applyAlignment="1">
      <alignment horizontal="center" vertical="center"/>
    </xf>
    <xf numFmtId="0" fontId="0" fillId="10" borderId="1" xfId="0" applyFill="1" applyBorder="1"/>
    <xf numFmtId="0" fontId="26" fillId="15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44" fontId="0" fillId="10" borderId="1" xfId="1" applyFont="1" applyFill="1" applyBorder="1" applyAlignment="1">
      <alignment horizontal="center"/>
    </xf>
    <xf numFmtId="44" fontId="0" fillId="10" borderId="1" xfId="1" applyFont="1" applyFill="1" applyBorder="1"/>
    <xf numFmtId="0" fontId="0" fillId="4" borderId="1" xfId="0" applyFill="1" applyBorder="1"/>
    <xf numFmtId="0" fontId="0" fillId="10" borderId="0" xfId="0" applyFill="1"/>
    <xf numFmtId="0" fontId="15" fillId="2" borderId="9" xfId="0" applyFont="1" applyFill="1" applyBorder="1"/>
    <xf numFmtId="0" fontId="0" fillId="10" borderId="9" xfId="0" applyFill="1" applyBorder="1"/>
    <xf numFmtId="44" fontId="0" fillId="10" borderId="9" xfId="1" applyFont="1" applyFill="1" applyBorder="1"/>
    <xf numFmtId="0" fontId="0" fillId="7" borderId="9" xfId="0" applyFill="1" applyBorder="1"/>
    <xf numFmtId="44" fontId="0" fillId="7" borderId="9" xfId="1" applyFont="1" applyFill="1" applyBorder="1"/>
    <xf numFmtId="0" fontId="0" fillId="0" borderId="0" xfId="0" applyAlignment="1">
      <alignment horizontal="left"/>
    </xf>
    <xf numFmtId="0" fontId="0" fillId="10" borderId="0" xfId="0" applyFill="1" applyAlignment="1">
      <alignment horizontal="left"/>
    </xf>
    <xf numFmtId="0" fontId="0" fillId="8" borderId="0" xfId="0" applyFill="1"/>
    <xf numFmtId="0" fontId="4" fillId="8" borderId="0" xfId="0" applyFont="1" applyFill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13" xfId="0" applyNumberFormat="1" applyBorder="1" applyAlignment="1">
      <alignment horizontal="center"/>
    </xf>
    <xf numFmtId="168" fontId="0" fillId="0" borderId="0" xfId="0" applyNumberFormat="1"/>
    <xf numFmtId="169" fontId="0" fillId="0" borderId="7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8" fontId="0" fillId="0" borderId="1" xfId="0" applyNumberFormat="1" applyBorder="1" applyAlignment="1">
      <alignment horizontal="left"/>
    </xf>
    <xf numFmtId="0" fontId="2" fillId="18" borderId="1" xfId="0" applyFont="1" applyFill="1" applyBorder="1" applyAlignment="1">
      <alignment horizontal="left"/>
    </xf>
    <xf numFmtId="0" fontId="2" fillId="19" borderId="1" xfId="0" applyFont="1" applyFill="1" applyBorder="1"/>
    <xf numFmtId="0" fontId="2" fillId="20" borderId="1" xfId="0" applyFont="1" applyFill="1" applyBorder="1"/>
    <xf numFmtId="0" fontId="8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10" fillId="0" borderId="2" xfId="0" applyFont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3" xfId="0" applyFont="1" applyFill="1" applyBorder="1" applyAlignment="1">
      <alignment horizontal="center"/>
    </xf>
    <xf numFmtId="0" fontId="4" fillId="8" borderId="7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19" fillId="1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8" fontId="0" fillId="13" borderId="7" xfId="0" applyNumberForma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12" borderId="7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44" fontId="0" fillId="10" borderId="0" xfId="1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/>
    </xf>
    <xf numFmtId="9" fontId="0" fillId="10" borderId="0" xfId="0" applyNumberFormat="1" applyFill="1" applyAlignment="1">
      <alignment horizontal="center" vertical="center"/>
    </xf>
    <xf numFmtId="0" fontId="25" fillId="2" borderId="1" xfId="0" applyFont="1" applyFill="1" applyBorder="1" applyAlignment="1">
      <alignment horizontal="center"/>
    </xf>
    <xf numFmtId="0" fontId="27" fillId="16" borderId="0" xfId="0" applyFont="1" applyFill="1" applyAlignment="1">
      <alignment horizontal="center"/>
    </xf>
    <xf numFmtId="0" fontId="27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44" fontId="24" fillId="2" borderId="0" xfId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18" borderId="7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8" fontId="0" fillId="0" borderId="1" xfId="0" applyNumberFormat="1" applyBorder="1" applyAlignment="1">
      <alignment horizontal="left"/>
    </xf>
    <xf numFmtId="0" fontId="2" fillId="18" borderId="1" xfId="0" applyFont="1" applyFill="1" applyBorder="1" applyAlignment="1">
      <alignment horizontal="left"/>
    </xf>
    <xf numFmtId="0" fontId="29" fillId="18" borderId="1" xfId="0" applyFont="1" applyFill="1" applyBorder="1" applyAlignment="1">
      <alignment horizontal="center"/>
    </xf>
    <xf numFmtId="6" fontId="0" fillId="0" borderId="0" xfId="0" applyNumberFormat="1"/>
    <xf numFmtId="6" fontId="0" fillId="0" borderId="1" xfId="0" applyNumberFormat="1" applyBorder="1"/>
    <xf numFmtId="0" fontId="4" fillId="6" borderId="1" xfId="0" applyFont="1" applyFill="1" applyBorder="1"/>
    <xf numFmtId="44" fontId="0" fillId="0" borderId="0" xfId="1" applyFont="1"/>
    <xf numFmtId="0" fontId="0" fillId="6" borderId="8" xfId="0" applyFill="1" applyBorder="1"/>
    <xf numFmtId="44" fontId="0" fillId="6" borderId="3" xfId="1" applyFont="1" applyFill="1" applyBorder="1"/>
    <xf numFmtId="0" fontId="4" fillId="6" borderId="7" xfId="0" applyFont="1" applyFill="1" applyBorder="1"/>
    <xf numFmtId="6" fontId="0" fillId="6" borderId="3" xfId="0" applyNumberFormat="1" applyFill="1" applyBorder="1"/>
    <xf numFmtId="0" fontId="4" fillId="6" borderId="8" xfId="0" applyFont="1" applyFill="1" applyBorder="1"/>
    <xf numFmtId="0" fontId="4" fillId="6" borderId="7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[$-416]d\-m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7" formatCode="0;\-0;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8" formatCode="@@@@@@@@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fill>
        <patternFill patternType="solid">
          <bgColor theme="2" tint="-9.9978637043366805E-2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4" formatCode="_-&quot;R$&quot;\ * #,##0.00_-;\-&quot;R$&quot;\ * #,##0.00_-;_-&quot;R$&quot;\ 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E266"/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7/relationships/slicerCache" Target="slicerCaches/slicerCache1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2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7/relationships/slicerCache" Target="slicerCaches/slicerCache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7/relationships/slicerCache" Target="slicerCaches/slicerCache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'6 - Previsões'!$B$1</c:f>
              <c:strCache>
                <c:ptCount val="1"/>
                <c:pt idx="0">
                  <c:v>VALORES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'6 - Previsões'!$B$2:$B$6</c:f>
              <c:numCache>
                <c:formatCode>_("R$"* #,##0.00_);_("R$"* \(#,##0.00\);_("R$"* "-"??_);_(@_)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6-4741-8FC3-15D433DE4AC6}"/>
            </c:ext>
          </c:extLst>
        </c:ser>
        <c:ser>
          <c:idx val="1"/>
          <c:order val="1"/>
          <c:tx>
            <c:strRef>
              <c:f>'6 - Previsões'!$C$1</c:f>
              <c:strCache>
                <c:ptCount val="1"/>
                <c:pt idx="0">
                  <c:v>Previsão(VALORES)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'6 - Previsões'!$A$2:$A$6</c:f>
              <c:numCache>
                <c:formatCode>m/d/yyyy</c:formatCode>
                <c:ptCount val="5"/>
                <c:pt idx="0">
                  <c:v>44197</c:v>
                </c:pt>
                <c:pt idx="1">
                  <c:v>44229</c:v>
                </c:pt>
                <c:pt idx="2">
                  <c:v>44258</c:v>
                </c:pt>
                <c:pt idx="3">
                  <c:v>44290</c:v>
                </c:pt>
                <c:pt idx="4">
                  <c:v>44322</c:v>
                </c:pt>
              </c:numCache>
            </c:numRef>
          </c:cat>
          <c:val>
            <c:numRef>
              <c:f>'6 - Previsões'!$C$2:$C$6</c:f>
              <c:numCache>
                <c:formatCode>General</c:formatCode>
                <c:ptCount val="5"/>
                <c:pt idx="3" formatCode="_(&quot;R$&quot;* #,##0.00_);_(&quot;R$&quot;* \(#,##0.00\);_(&quot;R$&quot;* &quot;-&quot;??_);_(@_)">
                  <c:v>400</c:v>
                </c:pt>
                <c:pt idx="4" formatCode="_(&quot;R$&quot;* #,##0.00_);_(&quot;R$&quot;* \(#,##0.00\);_(&quot;R$&quot;* &quot;-&quot;??_);_(@_)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C6-4741-8FC3-15D433DE4AC6}"/>
            </c:ext>
          </c:extLst>
        </c:ser>
        <c:ser>
          <c:idx val="2"/>
          <c:order val="2"/>
          <c:tx>
            <c:strRef>
              <c:f>'6 - Previsões'!$D$1</c:f>
              <c:strCache>
                <c:ptCount val="1"/>
                <c:pt idx="0">
                  <c:v>Limite de Confiança Inferior(VALORES)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'6 - Previsões'!$A$2:$A$6</c:f>
              <c:numCache>
                <c:formatCode>m/d/yyyy</c:formatCode>
                <c:ptCount val="5"/>
                <c:pt idx="0">
                  <c:v>44197</c:v>
                </c:pt>
                <c:pt idx="1">
                  <c:v>44229</c:v>
                </c:pt>
                <c:pt idx="2">
                  <c:v>44258</c:v>
                </c:pt>
                <c:pt idx="3">
                  <c:v>44290</c:v>
                </c:pt>
                <c:pt idx="4">
                  <c:v>44322</c:v>
                </c:pt>
              </c:numCache>
            </c:numRef>
          </c:cat>
          <c:val>
            <c:numRef>
              <c:f>'6 - Previsões'!$D$2:$D$6</c:f>
              <c:numCache>
                <c:formatCode>General</c:formatCode>
                <c:ptCount val="5"/>
                <c:pt idx="3" formatCode="_(&quot;R$&quot;* #,##0.00_);_(&quot;R$&quot;* \(#,##0.00\);_(&quot;R$&quot;* &quot;-&quot;??_);_(@_)">
                  <c:v>400</c:v>
                </c:pt>
                <c:pt idx="4" formatCode="_(&quot;R$&quot;* #,##0.00_);_(&quot;R$&quot;* \(#,##0.00\);_(&quot;R$&quot;* &quot;-&quot;??_);_(@_)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C6-4741-8FC3-15D433DE4AC6}"/>
            </c:ext>
          </c:extLst>
        </c:ser>
        <c:ser>
          <c:idx val="3"/>
          <c:order val="3"/>
          <c:tx>
            <c:strRef>
              <c:f>'6 - Previsões'!$E$1</c:f>
              <c:strCache>
                <c:ptCount val="1"/>
                <c:pt idx="0">
                  <c:v>Limite de Confiança Superior(VALORES)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'6 - Previsões'!$A$2:$A$6</c:f>
              <c:numCache>
                <c:formatCode>m/d/yyyy</c:formatCode>
                <c:ptCount val="5"/>
                <c:pt idx="0">
                  <c:v>44197</c:v>
                </c:pt>
                <c:pt idx="1">
                  <c:v>44229</c:v>
                </c:pt>
                <c:pt idx="2">
                  <c:v>44258</c:v>
                </c:pt>
                <c:pt idx="3">
                  <c:v>44290</c:v>
                </c:pt>
                <c:pt idx="4">
                  <c:v>44322</c:v>
                </c:pt>
              </c:numCache>
            </c:numRef>
          </c:cat>
          <c:val>
            <c:numRef>
              <c:f>'6 - Previsões'!$E$2:$E$6</c:f>
              <c:numCache>
                <c:formatCode>General</c:formatCode>
                <c:ptCount val="5"/>
                <c:pt idx="3" formatCode="_(&quot;R$&quot;* #,##0.00_);_(&quot;R$&quot;* \(#,##0.00\);_(&quot;R$&quot;* &quot;-&quot;??_);_(@_)">
                  <c:v>400</c:v>
                </c:pt>
                <c:pt idx="4" formatCode="_(&quot;R$&quot;* #,##0.00_);_(&quot;R$&quot;* \(#,##0.00\);_(&quot;R$&quot;* &quot;-&quot;??_);_(@_)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C6-4741-8FC3-15D433DE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8500735"/>
        <c:axId val="1258499071"/>
      </c:lineChart>
      <c:catAx>
        <c:axId val="125850073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8499071"/>
        <c:crosses val="autoZero"/>
        <c:auto val="1"/>
        <c:lblAlgn val="ctr"/>
        <c:lblOffset val="100"/>
        <c:noMultiLvlLbl val="0"/>
      </c:catAx>
      <c:valAx>
        <c:axId val="125849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850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Avançado - Exercícios Propostos (1).xlsm]23 - Gráfico Dinâmico!Tabela dinâmica2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'23 - Gráfico Dinâmico'!$B$1:$B$2</c:f>
              <c:strCache>
                <c:ptCount val="1"/>
                <c:pt idx="0">
                  <c:v>Janeiro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'23 - Gráfico Dinâmico'!$A$3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'23 - Gráfico Dinâmico'!$B$3</c:f>
              <c:numCache>
                <c:formatCode>General</c:formatCode>
                <c:ptCount val="1"/>
                <c:pt idx="0">
                  <c:v>267780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EA-4B06-8528-6DB1435983D6}"/>
            </c:ext>
          </c:extLst>
        </c:ser>
        <c:ser>
          <c:idx val="1"/>
          <c:order val="1"/>
          <c:tx>
            <c:strRef>
              <c:f>'23 - Gráfico Dinâmico'!$C$1:$C$2</c:f>
              <c:strCache>
                <c:ptCount val="1"/>
                <c:pt idx="0">
                  <c:v>Fevereiro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'23 - Gráfico Dinâmico'!$A$3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'23 - Gráfico Dinâmico'!$C$3</c:f>
              <c:numCache>
                <c:formatCode>General</c:formatCode>
                <c:ptCount val="1"/>
                <c:pt idx="0">
                  <c:v>228830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EA-4B06-8528-6DB1435983D6}"/>
            </c:ext>
          </c:extLst>
        </c:ser>
        <c:ser>
          <c:idx val="2"/>
          <c:order val="2"/>
          <c:tx>
            <c:strRef>
              <c:f>'23 - Gráfico Dinâmico'!$D$1:$D$2</c:f>
              <c:strCache>
                <c:ptCount val="1"/>
                <c:pt idx="0">
                  <c:v>Março</c:v>
                </c:pt>
              </c:strCache>
            </c:strRef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'23 - Gráfico Dinâmico'!$A$3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'23 - Gráfico Dinâmico'!$D$3</c:f>
              <c:numCache>
                <c:formatCode>General</c:formatCode>
                <c:ptCount val="1"/>
                <c:pt idx="0">
                  <c:v>165240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EA-4B06-8528-6DB1435983D6}"/>
            </c:ext>
          </c:extLst>
        </c:ser>
        <c:ser>
          <c:idx val="3"/>
          <c:order val="3"/>
          <c:tx>
            <c:strRef>
              <c:f>'23 - Gráfico Dinâmico'!$E$1:$E$2</c:f>
              <c:strCache>
                <c:ptCount val="1"/>
                <c:pt idx="0">
                  <c:v>Abril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'23 - Gráfico Dinâmico'!$A$3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'23 - Gráfico Dinâmico'!$E$3</c:f>
              <c:numCache>
                <c:formatCode>General</c:formatCode>
                <c:ptCount val="1"/>
                <c:pt idx="0">
                  <c:v>198050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EA-4B06-8528-6DB1435983D6}"/>
            </c:ext>
          </c:extLst>
        </c:ser>
        <c:ser>
          <c:idx val="4"/>
          <c:order val="4"/>
          <c:tx>
            <c:strRef>
              <c:f>'23 - Gráfico Dinâmico'!$F$1:$F$2</c:f>
              <c:strCache>
                <c:ptCount val="1"/>
                <c:pt idx="0">
                  <c:v>Maio</c:v>
                </c:pt>
              </c:strCache>
            </c:strRef>
          </c:tx>
          <c:spPr>
            <a:gradFill flip="none" rotWithShape="1">
              <a:gsLst>
                <a:gs pos="0">
                  <a:schemeClr val="accent5"/>
                </a:gs>
                <a:gs pos="75000">
                  <a:schemeClr val="accent5">
                    <a:lumMod val="60000"/>
                    <a:lumOff val="40000"/>
                  </a:schemeClr>
                </a:gs>
                <a:gs pos="51000">
                  <a:schemeClr val="accent5">
                    <a:alpha val="75000"/>
                  </a:schemeClr>
                </a:gs>
                <a:gs pos="100000">
                  <a:schemeClr val="accent5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'23 - Gráfico Dinâmico'!$A$3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'23 - Gráfico Dinâmico'!$F$3</c:f>
              <c:numCache>
                <c:formatCode>General</c:formatCode>
                <c:ptCount val="1"/>
                <c:pt idx="0">
                  <c:v>207400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EA-4B06-8528-6DB1435983D6}"/>
            </c:ext>
          </c:extLst>
        </c:ser>
        <c:ser>
          <c:idx val="5"/>
          <c:order val="5"/>
          <c:tx>
            <c:strRef>
              <c:f>'23 - Gráfico Dinâmico'!$G$1:$G$2</c:f>
              <c:strCache>
                <c:ptCount val="1"/>
                <c:pt idx="0">
                  <c:v>Junho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'23 - Gráfico Dinâmico'!$A$3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'23 - Gráfico Dinâmico'!$G$3</c:f>
              <c:numCache>
                <c:formatCode>General</c:formatCode>
                <c:ptCount val="1"/>
                <c:pt idx="0">
                  <c:v>101230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EA-4B06-8528-6DB143598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692906735"/>
        <c:axId val="1692893007"/>
      </c:barChart>
      <c:catAx>
        <c:axId val="16929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2893007"/>
        <c:crosses val="autoZero"/>
        <c:auto val="1"/>
        <c:lblAlgn val="ctr"/>
        <c:lblOffset val="100"/>
        <c:noMultiLvlLbl val="0"/>
      </c:catAx>
      <c:valAx>
        <c:axId val="16928930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29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Avançado - Exercícios Propostos (1).xlsm]42!Tabela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'42'!$I$4</c:f>
              <c:strCache>
                <c:ptCount val="1"/>
                <c:pt idx="0">
                  <c:v>Soma de Quantidade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'42'!$H$5:$H$15</c:f>
              <c:strCache>
                <c:ptCount val="10"/>
                <c:pt idx="0">
                  <c:v>Amoxicilina</c:v>
                </c:pt>
                <c:pt idx="1">
                  <c:v>Aspirina</c:v>
                </c:pt>
                <c:pt idx="2">
                  <c:v>Atadura</c:v>
                </c:pt>
                <c:pt idx="3">
                  <c:v>Dipirona</c:v>
                </c:pt>
                <c:pt idx="4">
                  <c:v>Insulina</c:v>
                </c:pt>
                <c:pt idx="5">
                  <c:v>Loratadina</c:v>
                </c:pt>
                <c:pt idx="6">
                  <c:v>Omeprazol</c:v>
                </c:pt>
                <c:pt idx="7">
                  <c:v>Paracetamol</c:v>
                </c:pt>
                <c:pt idx="8">
                  <c:v>Soro Fisiológico</c:v>
                </c:pt>
                <c:pt idx="9">
                  <c:v>Vitamina C</c:v>
                </c:pt>
              </c:strCache>
            </c:strRef>
          </c:cat>
          <c:val>
            <c:numRef>
              <c:f>'42'!$I$5:$I$15</c:f>
              <c:numCache>
                <c:formatCode>General</c:formatCode>
                <c:ptCount val="10"/>
                <c:pt idx="0">
                  <c:v>30</c:v>
                </c:pt>
                <c:pt idx="1">
                  <c:v>50</c:v>
                </c:pt>
                <c:pt idx="2">
                  <c:v>20</c:v>
                </c:pt>
                <c:pt idx="3">
                  <c:v>60</c:v>
                </c:pt>
                <c:pt idx="4">
                  <c:v>15</c:v>
                </c:pt>
                <c:pt idx="5">
                  <c:v>25</c:v>
                </c:pt>
                <c:pt idx="6">
                  <c:v>40</c:v>
                </c:pt>
                <c:pt idx="7">
                  <c:v>100</c:v>
                </c:pt>
                <c:pt idx="8">
                  <c:v>50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95-4824-AF4B-0B075E4EFF06}"/>
            </c:ext>
          </c:extLst>
        </c:ser>
        <c:ser>
          <c:idx val="1"/>
          <c:order val="1"/>
          <c:tx>
            <c:strRef>
              <c:f>'42'!$J$4</c:f>
              <c:strCache>
                <c:ptCount val="1"/>
                <c:pt idx="0">
                  <c:v>Soma de Quantidade Atual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'42'!$H$5:$H$15</c:f>
              <c:strCache>
                <c:ptCount val="10"/>
                <c:pt idx="0">
                  <c:v>Amoxicilina</c:v>
                </c:pt>
                <c:pt idx="1">
                  <c:v>Aspirina</c:v>
                </c:pt>
                <c:pt idx="2">
                  <c:v>Atadura</c:v>
                </c:pt>
                <c:pt idx="3">
                  <c:v>Dipirona</c:v>
                </c:pt>
                <c:pt idx="4">
                  <c:v>Insulina</c:v>
                </c:pt>
                <c:pt idx="5">
                  <c:v>Loratadina</c:v>
                </c:pt>
                <c:pt idx="6">
                  <c:v>Omeprazol</c:v>
                </c:pt>
                <c:pt idx="7">
                  <c:v>Paracetamol</c:v>
                </c:pt>
                <c:pt idx="8">
                  <c:v>Soro Fisiológico</c:v>
                </c:pt>
                <c:pt idx="9">
                  <c:v>Vitamina C</c:v>
                </c:pt>
              </c:strCache>
            </c:strRef>
          </c:cat>
          <c:val>
            <c:numRef>
              <c:f>'42'!$J$5:$J$15</c:f>
              <c:numCache>
                <c:formatCode>General</c:formatCode>
                <c:ptCount val="10"/>
                <c:pt idx="0">
                  <c:v>34</c:v>
                </c:pt>
                <c:pt idx="1">
                  <c:v>55</c:v>
                </c:pt>
                <c:pt idx="2">
                  <c:v>22</c:v>
                </c:pt>
                <c:pt idx="3">
                  <c:v>64</c:v>
                </c:pt>
                <c:pt idx="4">
                  <c:v>18</c:v>
                </c:pt>
                <c:pt idx="5">
                  <c:v>27</c:v>
                </c:pt>
                <c:pt idx="6">
                  <c:v>44</c:v>
                </c:pt>
                <c:pt idx="7">
                  <c:v>105</c:v>
                </c:pt>
                <c:pt idx="8">
                  <c:v>54</c:v>
                </c:pt>
                <c:pt idx="9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F95-4824-AF4B-0B075E4EF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0014751"/>
        <c:axId val="2018855919"/>
      </c:barChart>
      <c:catAx>
        <c:axId val="93001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8855919"/>
        <c:crosses val="autoZero"/>
        <c:auto val="1"/>
        <c:lblAlgn val="ctr"/>
        <c:lblOffset val="100"/>
        <c:noMultiLvlLbl val="0"/>
      </c:catAx>
      <c:valAx>
        <c:axId val="201885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0014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Range="$A$1:$A$12" noThreeD="1" sel="0" val="0"/>
</file>

<file path=xl/ctrlProps/ctrlProp2.xml><?xml version="1.0" encoding="utf-8"?>
<formControlPr xmlns="http://schemas.microsoft.com/office/spreadsheetml/2009/9/main" objectType="Drop" dropStyle="combo" dx="22" fmlaRange="$C$1:$C$12" noThreeD="1" sel="0" val="0"/>
</file>

<file path=xl/ctrlProps/ctrlProp3.xml><?xml version="1.0" encoding="utf-8"?>
<formControlPr xmlns="http://schemas.microsoft.com/office/spreadsheetml/2009/9/main" objectType="Spin" dx="22" fmlaLink="$D$1" max="30000" page="10" val="0"/>
</file>

<file path=xl/ctrlProps/ctrlProp4.xml><?xml version="1.0" encoding="utf-8"?>
<formControlPr xmlns="http://schemas.microsoft.com/office/spreadsheetml/2009/9/main" objectType="Spin" dx="22" fmlaLink="$D$1" max="30000" page="10" val="0"/>
</file>

<file path=xl/ctrlProps/ctrlProp5.xml><?xml version="1.0" encoding="utf-8"?>
<formControlPr xmlns="http://schemas.microsoft.com/office/spreadsheetml/2009/9/main" objectType="Spin" dx="22" fmlaLink="$D$1" max="30000" page="10" val="0"/>
</file>

<file path=xl/ctrlProps/ctrlProp6.xml><?xml version="1.0" encoding="utf-8"?>
<formControlPr xmlns="http://schemas.microsoft.com/office/spreadsheetml/2009/9/main" objectType="Spin" dx="22" fmlaLink="$D$1" max="30000" page="10" val="0"/>
</file>

<file path=xl/ctrlProps/ctrlProp7.xml><?xml version="1.0" encoding="utf-8"?>
<formControlPr xmlns="http://schemas.microsoft.com/office/spreadsheetml/2009/9/main" objectType="Scroll" dx="22" horiz="1" max="100" page="10" val="0"/>
</file>

<file path=xl/ctrlProps/ctrlProp8.xml><?xml version="1.0" encoding="utf-8"?>
<formControlPr xmlns="http://schemas.microsoft.com/office/spreadsheetml/2009/9/main" objectType="Spin" dx="22" fmlaLink="$D$1" max="30000" page="10" val="0"/>
</file>

<file path=xl/ctrlProps/ctrlProp9.xml><?xml version="1.0" encoding="utf-8"?>
<formControlPr xmlns="http://schemas.microsoft.com/office/spreadsheetml/2009/9/main" objectType="Spin" dx="22" fmlaLink="$D$1" max="30000" page="10" val="0"/>
</file>

<file path=xl/ctrlProps/ctrlProp10.xml><?xml version="1.0" encoding="utf-8"?>
<formControlPr xmlns="http://schemas.microsoft.com/office/spreadsheetml/2009/9/main" objectType="Spin" dx="22" fmlaLink="$D$1" max="30000" page="10" val="0"/>
</file>

<file path=xl/ctrlProps/ctrlProp11.xml><?xml version="1.0" encoding="utf-8"?>
<formControlPr xmlns="http://schemas.microsoft.com/office/spreadsheetml/2009/9/main" objectType="Spin" dx="22" fmlaLink="$D$1" max="30000" page="10" val="0"/>
</file>

<file path=xl/ctrlProps/ctrlProp12.xml><?xml version="1.0" encoding="utf-8"?>
<formControlPr xmlns="http://schemas.microsoft.com/office/spreadsheetml/2009/9/main" objectType="Scroll" dx="22" max="100" page="10" val="0"/>
</file>

<file path=xl/ctrlProps/ctrlProp13.xml><?xml version="1.0" encoding="utf-8"?>
<formControlPr xmlns="http://schemas.microsoft.com/office/spreadsheetml/2009/9/main" objectType="Drop" dropStyle="combo" dx="22" fmlaRange="$B$1:$B$12" noThreeD="1" sel="0" val="0"/>
</file>

<file path=xl/ctrlProps/ctrlProp14.xml><?xml version="1.0" encoding="utf-8"?>
<formControlPr xmlns="http://schemas.microsoft.com/office/spreadsheetml/2009/9/main" objectType="Spin" dx="22" fmlaLink="$D$1" max="30000" page="10" val="0"/>
</file>

<file path=xl/ctrlProps/ctrlProp15.xml><?xml version="1.0" encoding="utf-8"?>
<formControlPr xmlns="http://schemas.microsoft.com/office/spreadsheetml/2009/9/main" objectType="Spin" dx="22" fmlaLink="$D$1" max="30000" page="10" val="0"/>
</file>

<file path=xl/ctrlProps/ctrlProp16.xml><?xml version="1.0" encoding="utf-8"?>
<formControlPr xmlns="http://schemas.microsoft.com/office/spreadsheetml/2009/9/main" objectType="Spin" dx="22" fmlaLink="$D$1" max="30000" page="10" val="0"/>
</file>

<file path=xl/ctrlProps/ctrlProp17.xml><?xml version="1.0" encoding="utf-8"?>
<formControlPr xmlns="http://schemas.microsoft.com/office/spreadsheetml/2009/9/main" objectType="Spin" dx="22" fmlaLink="$D$1" max="30000" page="10" val="0"/>
</file>

<file path=xl/ctrlProps/ctrlProp18.xml><?xml version="1.0" encoding="utf-8"?>
<formControlPr xmlns="http://schemas.microsoft.com/office/spreadsheetml/2009/9/main" objectType="Scroll" dx="22" horiz="1" max="100" page="10" val="0"/>
</file>

<file path=xl/ctrlProps/ctrlProp19.xml><?xml version="1.0" encoding="utf-8"?>
<formControlPr xmlns="http://schemas.microsoft.com/office/spreadsheetml/2009/9/main" objectType="Spin" dx="22" fmlaLink="$D$1" max="30000" page="10" val="0"/>
</file>

<file path=xl/ctrlProps/ctrlProp20.xml><?xml version="1.0" encoding="utf-8"?>
<formControlPr xmlns="http://schemas.microsoft.com/office/spreadsheetml/2009/9/main" objectType="Spin" dx="22" fmlaLink="$D$1" max="30000" page="10" val="0"/>
</file>

<file path=xl/ctrlProps/ctrlProp21.xml><?xml version="1.0" encoding="utf-8"?>
<formControlPr xmlns="http://schemas.microsoft.com/office/spreadsheetml/2009/9/main" objectType="Spin" dx="22" fmlaLink="$D$1" max="30000" page="10" val="0"/>
</file>

<file path=xl/ctrlProps/ctrlProp22.xml><?xml version="1.0" encoding="utf-8"?>
<formControlPr xmlns="http://schemas.microsoft.com/office/spreadsheetml/2009/9/main" objectType="Spin" dx="22" fmlaLink="$D$1" max="30000" page="10" val="0"/>
</file>

<file path=xl/ctrlProps/ctrlProp23.xml><?xml version="1.0" encoding="utf-8"?>
<formControlPr xmlns="http://schemas.microsoft.com/office/spreadsheetml/2009/9/main" objectType="Scroll" dx="22" max="100" page="10" val="0"/>
</file>

<file path=xl/ctrlProps/ctrlProp24.xml><?xml version="1.0" encoding="utf-8"?>
<formControlPr xmlns="http://schemas.microsoft.com/office/spreadsheetml/2009/9/main" objectType="Drop" dropStyle="combo" dx="22" fmlaRange="$B$1:$B$12" noThreeD="1" sel="0" val="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Drop" dropStyle="combo" dx="22" fmlaRange="$A$2:$A$11" noThreeD="1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277906</xdr:colOff>
      <xdr:row>2</xdr:row>
      <xdr:rowOff>63313</xdr:rowOff>
    </xdr:from>
    <xdr:to>
      <xdr:col>6</xdr:col>
      <xdr:colOff>291353</xdr:colOff>
      <xdr:row>15</xdr:row>
      <xdr:rowOff>99732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DATA ENTRADA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ENTR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30731" y="444313"/>
              <a:ext cx="1842247" cy="25224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339538</xdr:colOff>
      <xdr:row>5</xdr:row>
      <xdr:rowOff>46504</xdr:rowOff>
    </xdr:from>
    <xdr:to>
      <xdr:col>9</xdr:col>
      <xdr:colOff>352985</xdr:colOff>
      <xdr:row>18</xdr:row>
      <xdr:rowOff>94129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LIENTE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21163" y="1008529"/>
              <a:ext cx="1842247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502023</xdr:colOff>
      <xdr:row>3</xdr:row>
      <xdr:rowOff>52107</xdr:rowOff>
    </xdr:from>
    <xdr:to>
      <xdr:col>12</xdr:col>
      <xdr:colOff>515470</xdr:colOff>
      <xdr:row>16</xdr:row>
      <xdr:rowOff>99732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VALOR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2448" y="633132"/>
              <a:ext cx="1842247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7</xdr:row>
      <xdr:rowOff>90487</xdr:rowOff>
    </xdr:from>
    <xdr:to>
      <xdr:col>6</xdr:col>
      <xdr:colOff>152400</xdr:colOff>
      <xdr:row>22</xdr:row>
      <xdr:rowOff>166687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210090</xdr:colOff>
      <xdr:row>21</xdr:row>
      <xdr:rowOff>152981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867690" cy="41630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819150</xdr:colOff>
      <xdr:row>4</xdr:row>
      <xdr:rowOff>28575</xdr:rowOff>
    </xdr:from>
    <xdr:to>
      <xdr:col>7</xdr:col>
      <xdr:colOff>257175</xdr:colOff>
      <xdr:row>18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</xdr:row>
          <xdr:rowOff>0</xdr:rowOff>
        </xdr:from>
        <xdr:to>
          <xdr:col>6</xdr:col>
          <xdr:colOff>600075</xdr:colOff>
          <xdr:row>3</xdr:row>
          <xdr:rowOff>180975</xdr:rowOff>
        </xdr:to>
        <xdr:sp macro="" textlink="">
          <xdr:nvSpPr>
            <xdr:cNvPr id="7169" name="List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F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180975</xdr:rowOff>
        </xdr:from>
        <xdr:to>
          <xdr:col>6</xdr:col>
          <xdr:colOff>600075</xdr:colOff>
          <xdr:row>7</xdr:row>
          <xdr:rowOff>9525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F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19050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19050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2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19050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2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19050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2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6</xdr:col>
          <xdr:colOff>9525</xdr:colOff>
          <xdr:row>13</xdr:row>
          <xdr:rowOff>28575</xdr:rowOff>
        </xdr:to>
        <xdr:sp macro="" textlink="">
          <xdr:nvSpPr>
            <xdr:cNvPr id="8202" name="Scroll Bar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2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2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19050</xdr:rowOff>
        </xdr:to>
        <xdr:sp macro="" textlink="">
          <xdr:nvSpPr>
            <xdr:cNvPr id="8204" name="Spinner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2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19050</xdr:rowOff>
        </xdr:to>
        <xdr:sp macro="" textlink="">
          <xdr:nvSpPr>
            <xdr:cNvPr id="8205" name="Spinner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2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2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8207" name="Scroll Bar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2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180975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8208" name="Drop Dow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2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19050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19050</xdr:rowOff>
        </xdr:to>
        <xdr:sp macro="" textlink="">
          <xdr:nvSpPr>
            <xdr:cNvPr id="9218" name="Spinner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19050</xdr:rowOff>
        </xdr:to>
        <xdr:sp macro="" textlink="">
          <xdr:nvSpPr>
            <xdr:cNvPr id="9219" name="Spinner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2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19050</xdr:rowOff>
        </xdr:to>
        <xdr:sp macro="" textlink="">
          <xdr:nvSpPr>
            <xdr:cNvPr id="9220" name="Spinner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2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6</xdr:col>
          <xdr:colOff>180975</xdr:colOff>
          <xdr:row>13</xdr:row>
          <xdr:rowOff>28575</xdr:rowOff>
        </xdr:to>
        <xdr:sp macro="" textlink="">
          <xdr:nvSpPr>
            <xdr:cNvPr id="9221" name="Scroll Bar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2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9222" name="Spinner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2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19050</xdr:rowOff>
        </xdr:to>
        <xdr:sp macro="" textlink="">
          <xdr:nvSpPr>
            <xdr:cNvPr id="9223" name="Spinner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2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19050</xdr:rowOff>
        </xdr:to>
        <xdr:sp macro="" textlink="">
          <xdr:nvSpPr>
            <xdr:cNvPr id="9224" name="Spinner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2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9225" name="Spinner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2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9226" name="Scroll Bar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2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180975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9227" name="Drop Dow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2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</xdr:row>
          <xdr:rowOff>19050</xdr:rowOff>
        </xdr:from>
        <xdr:to>
          <xdr:col>1</xdr:col>
          <xdr:colOff>47625</xdr:colOff>
          <xdr:row>15</xdr:row>
          <xdr:rowOff>19050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2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12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180975</xdr:rowOff>
        </xdr:from>
        <xdr:to>
          <xdr:col>3</xdr:col>
          <xdr:colOff>600075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180975</xdr:rowOff>
        </xdr:from>
        <xdr:to>
          <xdr:col>3</xdr:col>
          <xdr:colOff>600075</xdr:colOff>
          <xdr:row>13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1E99B810-9DA3-486A-A7F8-F40FFAF7E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180975</xdr:rowOff>
        </xdr:from>
        <xdr:to>
          <xdr:col>3</xdr:col>
          <xdr:colOff>600075</xdr:colOff>
          <xdr:row>13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2BEA33CC-EC45-4E2F-A677-8CA1EB163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9525</xdr:rowOff>
        </xdr:from>
        <xdr:to>
          <xdr:col>8</xdr:col>
          <xdr:colOff>1228725</xdr:colOff>
          <xdr:row>2</xdr:row>
          <xdr:rowOff>19050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57150</xdr:colOff>
      <xdr:row>2</xdr:row>
      <xdr:rowOff>185737</xdr:rowOff>
    </xdr:from>
    <xdr:to>
      <xdr:col>17</xdr:col>
      <xdr:colOff>361950</xdr:colOff>
      <xdr:row>17</xdr:row>
      <xdr:rowOff>71437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3FA38F-6F8C-898F-C14F-8E0223700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strutor" refreshedDate="45090.633397685182" createdVersion="7" refreshedVersion="7" minRefreshableVersion="3" recordCount="24" xr:uid="{66868C37-A8E3-4E85-A492-334965D3E606}">
  <cacheSource type="worksheet">
    <worksheetSource ref="A1:F25" sheet="22"/>
  </cacheSource>
  <cacheFields count="6">
    <cacheField name="MÊS" numFmtId="0">
      <sharedItems count="6">
        <s v="Janeiro"/>
        <s v="Fevereiro"/>
        <s v="Março"/>
        <s v="Abril"/>
        <s v="Maio"/>
        <s v="Junho"/>
      </sharedItems>
    </cacheField>
    <cacheField name="VENDEDOR" numFmtId="0">
      <sharedItems count="5">
        <s v="Leonardo"/>
        <s v="Carlos"/>
        <s v="Aline"/>
        <s v="Laís"/>
        <s v="Ana"/>
      </sharedItems>
    </cacheField>
    <cacheField name="MARCA" numFmtId="0">
      <sharedItems/>
    </cacheField>
    <cacheField name="MODELO" numFmtId="0">
      <sharedItems/>
    </cacheField>
    <cacheField name="ANO" numFmtId="0">
      <sharedItems containsSemiMixedTypes="0" containsString="0" containsNumber="1" containsInteger="1" minValue="2004" maxValue="2018"/>
    </cacheField>
    <cacheField name="PREÇO" numFmtId="44">
      <sharedItems containsSemiMixedTypes="0" containsString="0" containsNumber="1" containsInteger="1" minValue="18890" maxValue="88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strutor" refreshedDate="45090.635477083335" createdVersion="7" refreshedVersion="7" minRefreshableVersion="3" recordCount="24" xr:uid="{2060F388-8E25-4D82-A76F-F675587DCECA}">
  <cacheSource type="worksheet">
    <worksheetSource ref="B2:F26" sheet="23"/>
  </cacheSource>
  <cacheFields count="5">
    <cacheField name="MÊS" numFmtId="0">
      <sharedItems count="6">
        <s v="Janeiro"/>
        <s v="Fevereiro"/>
        <s v="Março"/>
        <s v="Abril"/>
        <s v="Maio"/>
        <s v="Junho"/>
      </sharedItems>
    </cacheField>
    <cacheField name="MARCA" numFmtId="0">
      <sharedItems/>
    </cacheField>
    <cacheField name="MODELO" numFmtId="0">
      <sharedItems/>
    </cacheField>
    <cacheField name="ANO" numFmtId="0">
      <sharedItems containsSemiMixedTypes="0" containsString="0" containsNumber="1" containsInteger="1" minValue="2004" maxValue="2018"/>
    </cacheField>
    <cacheField name="PREÇO" numFmtId="44">
      <sharedItems containsSemiMixedTypes="0" containsString="0" containsNumber="1" containsInteger="1" minValue="18890" maxValue="88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rk" refreshedDate="45092.751831365742" createdVersion="8" refreshedVersion="8" minRefreshableVersion="3" recordCount="10" xr:uid="{070A46A0-893E-495E-AD32-97A3B3296CC3}">
  <cacheSource type="worksheet">
    <worksheetSource ref="A1:F11" sheet="42"/>
  </cacheSource>
  <cacheFields count="6">
    <cacheField name="Produto" numFmtId="0">
      <sharedItems count="10">
        <s v="Aspirina"/>
        <s v="Paracetamol"/>
        <s v="Amoxicilina"/>
        <s v="Omeprazol"/>
        <s v="Dipirona"/>
        <s v="Loratadina"/>
        <s v="Insulina"/>
        <s v="Vitamina C"/>
        <s v="Atadura"/>
        <s v="Soro Fisiológico"/>
      </sharedItems>
    </cacheField>
    <cacheField name="Categoria" numFmtId="0">
      <sharedItems count="8">
        <s v="Analgésico"/>
        <s v="Antibiótico"/>
        <s v="Antiácido"/>
        <s v="Antialérgico"/>
        <s v="Medicamento"/>
        <s v="Suplemento"/>
        <s v="Curativo"/>
        <s v="Solução"/>
      </sharedItems>
    </cacheField>
    <cacheField name="Quantidade Inicial" numFmtId="0">
      <sharedItems containsSemiMixedTypes="0" containsString="0" containsNumber="1" containsInteger="1" minValue="15" maxValue="100" count="8">
        <n v="50"/>
        <n v="100"/>
        <n v="30"/>
        <n v="40"/>
        <n v="60"/>
        <n v="25"/>
        <n v="15"/>
        <n v="20"/>
      </sharedItems>
    </cacheField>
    <cacheField name="Entradas" numFmtId="0">
      <sharedItems containsSemiMixedTypes="0" containsString="0" containsNumber="1" containsInteger="1" minValue="5" maxValue="20"/>
    </cacheField>
    <cacheField name="Saídas" numFmtId="0">
      <sharedItems containsSemiMixedTypes="0" containsString="0" containsNumber="1" containsInteger="1" minValue="2" maxValue="15"/>
    </cacheField>
    <cacheField name="Quantidade Atual" numFmtId="0">
      <sharedItems containsSemiMixedTypes="0" containsString="0" containsNumber="1" containsInteger="1" minValue="18" maxValue="105" count="10">
        <n v="55"/>
        <n v="105"/>
        <n v="34"/>
        <n v="44"/>
        <n v="64"/>
        <n v="27"/>
        <n v="18"/>
        <n v="38"/>
        <n v="22"/>
        <n v="5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s v="FIAT"/>
    <s v="TORO"/>
    <n v="2018"/>
    <n v="84990"/>
  </r>
  <r>
    <x v="1"/>
    <x v="1"/>
    <s v="CHEVY"/>
    <s v="CRUZE"/>
    <n v="2017"/>
    <n v="75000"/>
  </r>
  <r>
    <x v="2"/>
    <x v="2"/>
    <s v="HYUNDAI"/>
    <s v="HB20"/>
    <n v="2018"/>
    <n v="38890"/>
  </r>
  <r>
    <x v="2"/>
    <x v="0"/>
    <s v="FIAT"/>
    <s v="ARGO"/>
    <n v="2017"/>
    <n v="43900"/>
  </r>
  <r>
    <x v="1"/>
    <x v="3"/>
    <s v="VOLKSWAGEN"/>
    <s v="JETTA"/>
    <n v="2015"/>
    <n v="75000"/>
  </r>
  <r>
    <x v="3"/>
    <x v="1"/>
    <s v="CHEVY"/>
    <s v="ONIX"/>
    <n v="2016"/>
    <n v="37550"/>
  </r>
  <r>
    <x v="0"/>
    <x v="4"/>
    <s v="VOLKSWAGEN"/>
    <s v="UP"/>
    <n v="2015"/>
    <n v="33000"/>
  </r>
  <r>
    <x v="3"/>
    <x v="1"/>
    <s v="HYUNDAI"/>
    <s v="CRETA"/>
    <n v="2017"/>
    <n v="82100"/>
  </r>
  <r>
    <x v="2"/>
    <x v="4"/>
    <s v="FIAT"/>
    <s v="MOBI"/>
    <n v="2017"/>
    <n v="35450"/>
  </r>
  <r>
    <x v="1"/>
    <x v="3"/>
    <s v="VOLKSWAGEN"/>
    <s v="GOLF"/>
    <n v="2010"/>
    <n v="34900"/>
  </r>
  <r>
    <x v="2"/>
    <x v="2"/>
    <s v="FORD"/>
    <s v="FUSION"/>
    <n v="2011"/>
    <n v="47000"/>
  </r>
  <r>
    <x v="4"/>
    <x v="2"/>
    <s v="CHEVY"/>
    <s v="ONIX"/>
    <n v="2013"/>
    <n v="37600"/>
  </r>
  <r>
    <x v="0"/>
    <x v="0"/>
    <s v="FIAT"/>
    <s v="MOBI"/>
    <n v="2016"/>
    <n v="29990"/>
  </r>
  <r>
    <x v="4"/>
    <x v="1"/>
    <s v="HYUNDAI"/>
    <s v="CRETA"/>
    <n v="2017"/>
    <n v="82000"/>
  </r>
  <r>
    <x v="3"/>
    <x v="2"/>
    <s v="FIAT"/>
    <s v="UNO"/>
    <n v="2011"/>
    <n v="21500"/>
  </r>
  <r>
    <x v="3"/>
    <x v="0"/>
    <s v="FORD"/>
    <s v="FUSION"/>
    <n v="2012"/>
    <n v="56900"/>
  </r>
  <r>
    <x v="5"/>
    <x v="3"/>
    <s v="VOLKSWAGEN"/>
    <s v="FOX"/>
    <n v="2009"/>
    <n v="18890"/>
  </r>
  <r>
    <x v="5"/>
    <x v="1"/>
    <s v="CHEVY"/>
    <s v="PRISMA"/>
    <n v="2010"/>
    <n v="18900"/>
  </r>
  <r>
    <x v="0"/>
    <x v="4"/>
    <s v="FORD"/>
    <s v="NEW FIESTA"/>
    <n v="2014"/>
    <n v="30900"/>
  </r>
  <r>
    <x v="1"/>
    <x v="1"/>
    <s v="FORD"/>
    <s v="ECOSPORT"/>
    <n v="2012"/>
    <n v="43930"/>
  </r>
  <r>
    <x v="5"/>
    <x v="4"/>
    <s v="FIAT"/>
    <s v="UNO"/>
    <n v="2016"/>
    <n v="29900"/>
  </r>
  <r>
    <x v="4"/>
    <x v="3"/>
    <s v="HYUNDAI"/>
    <s v="SANTA FÉ"/>
    <n v="2004"/>
    <n v="87800"/>
  </r>
  <r>
    <x v="5"/>
    <x v="2"/>
    <s v="FORD"/>
    <s v="NEW FIESTA"/>
    <n v="2016"/>
    <n v="33540"/>
  </r>
  <r>
    <x v="0"/>
    <x v="2"/>
    <s v="CHEVY"/>
    <s v="CRUZE"/>
    <n v="2018"/>
    <n v="889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s v="FIAT"/>
    <s v="TORO"/>
    <n v="2018"/>
    <n v="84990"/>
  </r>
  <r>
    <x v="1"/>
    <s v="CHEVY"/>
    <s v="CRUZE"/>
    <n v="2017"/>
    <n v="75000"/>
  </r>
  <r>
    <x v="2"/>
    <s v="HYUNDAI"/>
    <s v="HB20"/>
    <n v="2018"/>
    <n v="38890"/>
  </r>
  <r>
    <x v="2"/>
    <s v="FIAT"/>
    <s v="ARGO"/>
    <n v="2017"/>
    <n v="43900"/>
  </r>
  <r>
    <x v="1"/>
    <s v="VOLKSWAGEN"/>
    <s v="JETTA"/>
    <n v="2015"/>
    <n v="75000"/>
  </r>
  <r>
    <x v="3"/>
    <s v="CHEVY"/>
    <s v="ONIX"/>
    <n v="2016"/>
    <n v="37550"/>
  </r>
  <r>
    <x v="0"/>
    <s v="VOLKSWAGEN"/>
    <s v="UP"/>
    <n v="2015"/>
    <n v="33000"/>
  </r>
  <r>
    <x v="3"/>
    <s v="HYUNDAI"/>
    <s v="CRETA"/>
    <n v="2017"/>
    <n v="82100"/>
  </r>
  <r>
    <x v="2"/>
    <s v="FIAT"/>
    <s v="MOBI"/>
    <n v="2017"/>
    <n v="35450"/>
  </r>
  <r>
    <x v="1"/>
    <s v="VOLKSWAGEN"/>
    <s v="GOLF"/>
    <n v="2010"/>
    <n v="34900"/>
  </r>
  <r>
    <x v="2"/>
    <s v="FORD"/>
    <s v="FUSION"/>
    <n v="2011"/>
    <n v="47000"/>
  </r>
  <r>
    <x v="4"/>
    <s v="CHEVY"/>
    <s v="ONIX"/>
    <n v="2013"/>
    <n v="37600"/>
  </r>
  <r>
    <x v="0"/>
    <s v="FIAT"/>
    <s v="MOBI"/>
    <n v="2016"/>
    <n v="29990"/>
  </r>
  <r>
    <x v="4"/>
    <s v="HYUNDAI"/>
    <s v="CRETA"/>
    <n v="2017"/>
    <n v="82000"/>
  </r>
  <r>
    <x v="3"/>
    <s v="FIAT"/>
    <s v="UNO"/>
    <n v="2011"/>
    <n v="21500"/>
  </r>
  <r>
    <x v="3"/>
    <s v="FORD"/>
    <s v="FUSION"/>
    <n v="2012"/>
    <n v="56900"/>
  </r>
  <r>
    <x v="5"/>
    <s v="VOLKSWAGEN"/>
    <s v="FOX"/>
    <n v="2009"/>
    <n v="18890"/>
  </r>
  <r>
    <x v="5"/>
    <s v="CHEVY"/>
    <s v="PRISMA"/>
    <n v="2010"/>
    <n v="18900"/>
  </r>
  <r>
    <x v="0"/>
    <s v="FORD"/>
    <s v="NEW FIESTA"/>
    <n v="2014"/>
    <n v="30900"/>
  </r>
  <r>
    <x v="1"/>
    <s v="FORD"/>
    <s v="ECOSPORT"/>
    <n v="2012"/>
    <n v="43930"/>
  </r>
  <r>
    <x v="5"/>
    <s v="FIAT"/>
    <s v="UNO"/>
    <n v="2016"/>
    <n v="29900"/>
  </r>
  <r>
    <x v="4"/>
    <s v="HYUNDAI"/>
    <s v="SANTA FÉ"/>
    <n v="2004"/>
    <n v="87800"/>
  </r>
  <r>
    <x v="5"/>
    <s v="FORD"/>
    <s v="NEW FIESTA"/>
    <n v="2016"/>
    <n v="33540"/>
  </r>
  <r>
    <x v="0"/>
    <s v="CHEVY"/>
    <s v="CRUZE"/>
    <n v="2018"/>
    <n v="889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10"/>
    <n v="5"/>
    <x v="0"/>
  </r>
  <r>
    <x v="1"/>
    <x v="0"/>
    <x v="1"/>
    <n v="20"/>
    <n v="15"/>
    <x v="1"/>
  </r>
  <r>
    <x v="2"/>
    <x v="1"/>
    <x v="2"/>
    <n v="8"/>
    <n v="4"/>
    <x v="2"/>
  </r>
  <r>
    <x v="3"/>
    <x v="2"/>
    <x v="3"/>
    <n v="10"/>
    <n v="6"/>
    <x v="3"/>
  </r>
  <r>
    <x v="4"/>
    <x v="0"/>
    <x v="4"/>
    <n v="12"/>
    <n v="8"/>
    <x v="4"/>
  </r>
  <r>
    <x v="5"/>
    <x v="3"/>
    <x v="5"/>
    <n v="5"/>
    <n v="3"/>
    <x v="5"/>
  </r>
  <r>
    <x v="6"/>
    <x v="4"/>
    <x v="6"/>
    <n v="5"/>
    <n v="2"/>
    <x v="6"/>
  </r>
  <r>
    <x v="7"/>
    <x v="5"/>
    <x v="3"/>
    <n v="8"/>
    <n v="10"/>
    <x v="7"/>
  </r>
  <r>
    <x v="8"/>
    <x v="6"/>
    <x v="7"/>
    <n v="6"/>
    <n v="4"/>
    <x v="8"/>
  </r>
  <r>
    <x v="9"/>
    <x v="7"/>
    <x v="0"/>
    <n v="10"/>
    <n v="6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EC94F-EF8E-49CB-9DD4-CB4B52BFE206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H10" firstHeaderRow="1" firstDataRow="2" firstDataCol="1"/>
  <pivotFields count="6"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6">
        <item x="2"/>
        <item x="4"/>
        <item x="1"/>
        <item x="3"/>
        <item x="0"/>
        <item t="default"/>
      </items>
    </pivotField>
    <pivotField showAll="0"/>
    <pivotField showAll="0"/>
    <pivotField showAll="0"/>
    <pivotField dataField="1" numFmtId="4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a de PREÇO" fld="5" baseField="0" baseItem="0"/>
  </dataFields>
  <formats count="8">
    <format dxfId="18">
      <pivotArea type="origin" dataOnly="0" labelOnly="1" outline="0" fieldPosition="0"/>
    </format>
    <format dxfId="17">
      <pivotArea field="0" type="button" dataOnly="0" labelOnly="1" outline="0" axis="axisCol" fieldPosition="0"/>
    </format>
    <format dxfId="16">
      <pivotArea type="topRight" dataOnly="0" labelOnly="1" outline="0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Col="1" outline="0" fieldPosition="0"/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981E2E-59F3-4375-A6BC-93BA24A20D25}" name="Tabela dinâ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">
  <location ref="A1:H3" firstHeaderRow="1" firstDataRow="2" firstDataCol="1"/>
  <pivotFields count="5">
    <pivotField axis="axisCol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numFmtId="44" showAll="0"/>
  </pivotFields>
  <rowItems count="1">
    <i/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a de PREÇO" fld="4" baseField="0" baseItem="0"/>
  </dataFields>
  <formats count="1">
    <format dxfId="10">
      <pivotArea type="all" dataOnly="0" outline="0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C6CD00-5B57-41CC-8EDA-3841B8518426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H4:J15" firstHeaderRow="0" firstDataRow="1" firstDataCol="1"/>
  <pivotFields count="6">
    <pivotField axis="axisRow" showAll="0">
      <items count="11">
        <item x="2"/>
        <item x="0"/>
        <item x="8"/>
        <item x="4"/>
        <item x="6"/>
        <item x="5"/>
        <item x="3"/>
        <item x="1"/>
        <item x="9"/>
        <item x="7"/>
        <item t="default"/>
      </items>
    </pivotField>
    <pivotField showAll="0">
      <items count="9">
        <item x="0"/>
        <item x="2"/>
        <item x="3"/>
        <item x="1"/>
        <item x="6"/>
        <item x="4"/>
        <item x="7"/>
        <item x="5"/>
        <item t="default"/>
      </items>
    </pivotField>
    <pivotField dataField="1" showAll="0">
      <items count="9">
        <item x="6"/>
        <item x="7"/>
        <item x="5"/>
        <item x="2"/>
        <item x="3"/>
        <item x="0"/>
        <item x="4"/>
        <item x="1"/>
        <item t="default"/>
      </items>
    </pivotField>
    <pivotField showAll="0"/>
    <pivotField showAll="0"/>
    <pivotField dataField="1" showAll="0">
      <items count="11">
        <item x="6"/>
        <item x="8"/>
        <item x="5"/>
        <item x="2"/>
        <item x="7"/>
        <item x="3"/>
        <item x="9"/>
        <item x="0"/>
        <item x="4"/>
        <item x="1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 Inicial" fld="2" baseField="0" baseItem="0"/>
    <dataField name="Soma de Quantidade Atual" fld="5" baseField="0" baseItem="0"/>
  </dataFields>
  <chartFormats count="2">
    <chartFormat chart="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ela1_1" backgroundRefresh="0" connectionId="1" xr16:uid="{32350BEF-FC28-4400-8A24-65D6F1F45443}" autoFormatId="16" applyNumberFormats="0" applyBorderFormats="0" applyFontFormats="0" applyPatternFormats="0" applyAlignmentFormats="0" applyWidthHeightFormats="0">
  <queryTableRefresh nextId="4">
    <queryTableFields count="3">
      <queryTableField id="1" name="DATA ENTRADA" tableColumnId="1"/>
      <queryTableField id="2" name="CLIENTE" tableColumnId="2"/>
      <queryTableField id="3" name="VALOR" tableColumnId="3"/>
    </queryTableFields>
  </queryTableRefresh>
  <extLst>
    <ext xmlns:x15="http://schemas.microsoft.com/office/spreadsheetml/2010/11/main" uri="{883FBD77-0823-4a55-B5E3-86C4891E6966}">
      <x15:queryTable sourceDataName="WorksheetConnection_Excel Avançado - Exercícios Propostos.xlsx!Tabela1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ENTRADA" xr10:uid="{013B6FD7-6601-4BD8-8ADD-43AEC1D6DA6D}" sourceName="DATA ENTRADA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95E8AE0E-A0E3-4006-A505-601CEF8B8B41}" sourceName="CLIENTE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ALOR" xr10:uid="{40670551-01F8-4E5B-A871-9A22D73B77F3}" sourceName="VALOR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ENTRADA" xr10:uid="{69B8D658-3DDC-44C2-B21E-D20074E5C9A0}" cache="SegmentaçãodeDados_DATA_ENTRADA" caption="DATA ENTRADA" rowHeight="241300"/>
  <slicer name="CLIENTE" xr10:uid="{DD5E0204-D08C-4436-B0EA-FA576480C22D}" cache="SegmentaçãodeDados_CLIENTE" caption="CLIENTE" rowHeight="241300"/>
  <slicer name="VALOR" xr10:uid="{B6DBBEE4-87AA-4C3C-B00C-C5F5048769BA}" cache="SegmentaçãodeDados_VALOR" caption="VALOR" rowHeight="24130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78E3B-EEC6-44E3-91FD-2DE2FFB7B5DC}" name="Tabela1" displayName="Tabela1" ref="A4:C11" totalsRowShown="0" headerRowDxfId="24">
  <autoFilter ref="A4:C11" xr:uid="{DAF78E3B-EEC6-44E3-91FD-2DE2FFB7B5DC}"/>
  <tableColumns count="3">
    <tableColumn id="1" xr3:uid="{E9002C67-8448-4238-8CD0-9AE14A3CC92E}" name="DATA ENTRADA" dataDxfId="23"/>
    <tableColumn id="2" xr3:uid="{08AFDA75-2BB5-4B94-ABDF-68AAE7C9ACDC}" name="CLIENTE" dataDxfId="22"/>
    <tableColumn id="3" xr3:uid="{FE306DA1-76B6-43F6-9A62-FE3BA87C634C}" name="VALOR" dataDxfId="21" dataCellStyle="Moed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00CB42-E1A7-4F8D-8CCC-52DFF193E9B6}" name="Tabela2" displayName="Tabela2" ref="A1:E6" totalsRowShown="0">
  <autoFilter ref="A1:E6" xr:uid="{CB00CB42-E1A7-4F8D-8CCC-52DFF193E9B6}"/>
  <tableColumns count="5">
    <tableColumn id="1" xr3:uid="{65DAF520-8221-44FF-A486-839846641A29}" name="DATAS" dataDxfId="20"/>
    <tableColumn id="2" xr3:uid="{56FDFF5B-BC54-4BD9-941A-6E72A0E0DE09}" name="VALORES" dataDxfId="19"/>
    <tableColumn id="3" xr3:uid="{E0BB1E9B-D2BE-403B-8CD3-3CA95CC8D10D}" name="Previsão(VALORES)"/>
    <tableColumn id="4" xr3:uid="{066D2ED9-0784-4EA1-920C-65510AFFC9EE}" name="Limite de Confiança Inferior(VALORES)"/>
    <tableColumn id="5" xr3:uid="{EBA036BF-AAB9-46E2-9511-1F24BCB2CAD8}" name="Limite de Confiança Superior(VALORES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95EB08-A0F3-4E5B-8B13-E87E5F38E349}" name="Tabela1_14" displayName="Tabela1_14" ref="B4:D11" tableType="queryTable" totalsRowShown="0">
  <autoFilter ref="B4:D11" xr:uid="{0895EB08-A0F3-4E5B-8B13-E87E5F38E349}"/>
  <tableColumns count="3">
    <tableColumn id="1" xr3:uid="{A3E21B86-29F7-4337-BDFB-130397B1B15D}" uniqueName="1" name="DATA ENTRADA" queryTableFieldId="1" dataDxfId="9"/>
    <tableColumn id="2" xr3:uid="{146F4104-6910-423C-B95F-B73E1199F46E}" uniqueName="2" name="CLIENTE" queryTableFieldId="2"/>
    <tableColumn id="3" xr3:uid="{363586B4-39D2-4B4A-855B-BEBDEDD9A502}" uniqueName="3" name="VALOR" queryTableFieldId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CEFB46-A244-434C-A6D1-0958E0B86D0D}" name="Tabela4" displayName="Tabela4" ref="B3:D8" totalsRowShown="0" headerRowDxfId="8" headerRowBorderDxfId="7" tableBorderDxfId="6" totalsRowBorderDxfId="5">
  <autoFilter ref="B3:D8" xr:uid="{57CEFB46-A244-434C-A6D1-0958E0B86D0D}"/>
  <tableColumns count="3">
    <tableColumn id="1" xr3:uid="{0668DCC2-DE9D-49FB-9C57-1B3BB6B592EB}" name="Nome dos Pais" dataDxfId="4"/>
    <tableColumn id="2" xr3:uid="{52DE71A6-30FC-417E-B854-835460AC18A8}" name="Número de Filhos" dataDxfId="3"/>
    <tableColumn id="3" xr3:uid="{EEA0FFAE-CC4A-4FBE-A235-B64EBC2D586C}" name="Data de Nascimento" dataDxfId="2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helo@email.com" TargetMode="External"/><Relationship Id="rId13" Type="http://schemas.openxmlformats.org/officeDocument/2006/relationships/hyperlink" Target="mailto:ary@email.com" TargetMode="External"/><Relationship Id="rId3" Type="http://schemas.openxmlformats.org/officeDocument/2006/relationships/hyperlink" Target="mailto:ju@email.com" TargetMode="External"/><Relationship Id="rId7" Type="http://schemas.openxmlformats.org/officeDocument/2006/relationships/hyperlink" Target="mailto:ed@email.com" TargetMode="External"/><Relationship Id="rId12" Type="http://schemas.openxmlformats.org/officeDocument/2006/relationships/hyperlink" Target="mailto:duda@email.com" TargetMode="External"/><Relationship Id="rId2" Type="http://schemas.openxmlformats.org/officeDocument/2006/relationships/hyperlink" Target="mailto:ana@email.com" TargetMode="External"/><Relationship Id="rId1" Type="http://schemas.openxmlformats.org/officeDocument/2006/relationships/hyperlink" Target="mailto:anderson@email.com" TargetMode="External"/><Relationship Id="rId6" Type="http://schemas.openxmlformats.org/officeDocument/2006/relationships/hyperlink" Target="mailto:re@email.com" TargetMode="External"/><Relationship Id="rId11" Type="http://schemas.openxmlformats.org/officeDocument/2006/relationships/hyperlink" Target="mailto:camila@email.com" TargetMode="External"/><Relationship Id="rId5" Type="http://schemas.openxmlformats.org/officeDocument/2006/relationships/hyperlink" Target="mailto:leo@email.com" TargetMode="External"/><Relationship Id="rId10" Type="http://schemas.openxmlformats.org/officeDocument/2006/relationships/hyperlink" Target="mailto:giovane@email.com" TargetMode="External"/><Relationship Id="rId4" Type="http://schemas.openxmlformats.org/officeDocument/2006/relationships/hyperlink" Target="mailto:gu@email.com" TargetMode="External"/><Relationship Id="rId9" Type="http://schemas.openxmlformats.org/officeDocument/2006/relationships/hyperlink" Target="mailto:lu@email.com" TargetMode="External"/><Relationship Id="rId14" Type="http://schemas.openxmlformats.org/officeDocument/2006/relationships/hyperlink" Target="mailto:lucia@email.co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helo@email.com" TargetMode="External"/><Relationship Id="rId13" Type="http://schemas.openxmlformats.org/officeDocument/2006/relationships/hyperlink" Target="mailto:ary@email.com" TargetMode="External"/><Relationship Id="rId3" Type="http://schemas.openxmlformats.org/officeDocument/2006/relationships/hyperlink" Target="mailto:ju@email.com" TargetMode="External"/><Relationship Id="rId7" Type="http://schemas.openxmlformats.org/officeDocument/2006/relationships/hyperlink" Target="mailto:ed@email.com" TargetMode="External"/><Relationship Id="rId12" Type="http://schemas.openxmlformats.org/officeDocument/2006/relationships/hyperlink" Target="mailto:duda@email.com" TargetMode="External"/><Relationship Id="rId2" Type="http://schemas.openxmlformats.org/officeDocument/2006/relationships/hyperlink" Target="mailto:ana@email.com" TargetMode="External"/><Relationship Id="rId1" Type="http://schemas.openxmlformats.org/officeDocument/2006/relationships/hyperlink" Target="mailto:anderson@email.com" TargetMode="External"/><Relationship Id="rId6" Type="http://schemas.openxmlformats.org/officeDocument/2006/relationships/hyperlink" Target="mailto:re@email.com" TargetMode="External"/><Relationship Id="rId11" Type="http://schemas.openxmlformats.org/officeDocument/2006/relationships/hyperlink" Target="mailto:camila@email.com" TargetMode="External"/><Relationship Id="rId5" Type="http://schemas.openxmlformats.org/officeDocument/2006/relationships/hyperlink" Target="mailto:leo@email.com" TargetMode="External"/><Relationship Id="rId10" Type="http://schemas.openxmlformats.org/officeDocument/2006/relationships/hyperlink" Target="mailto:giovane@email.com" TargetMode="External"/><Relationship Id="rId4" Type="http://schemas.openxmlformats.org/officeDocument/2006/relationships/hyperlink" Target="mailto:gu@email.com" TargetMode="External"/><Relationship Id="rId9" Type="http://schemas.openxmlformats.org/officeDocument/2006/relationships/hyperlink" Target="mailto:lu@email.com" TargetMode="External"/><Relationship Id="rId14" Type="http://schemas.openxmlformats.org/officeDocument/2006/relationships/hyperlink" Target="mailto:lucia@email.co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964C-0D1F-42A5-B9CF-230FB8C2F8DB}">
  <sheetPr codeName="Planilha1">
    <tabColor rgb="FF00B050"/>
  </sheetPr>
  <dimension ref="A2:F11"/>
  <sheetViews>
    <sheetView tabSelected="1" workbookViewId="0">
      <selection activeCell="H16" sqref="H16"/>
    </sheetView>
  </sheetViews>
  <sheetFormatPr defaultRowHeight="15" x14ac:dyDescent="0.25"/>
  <cols>
    <col min="1" max="1" width="12.85546875" bestFit="1" customWidth="1"/>
    <col min="2" max="2" width="13.85546875" customWidth="1"/>
    <col min="3" max="3" width="18.7109375" customWidth="1"/>
    <col min="4" max="4" width="34" bestFit="1" customWidth="1"/>
    <col min="5" max="5" width="17.28515625" bestFit="1" customWidth="1"/>
    <col min="6" max="6" width="10.5703125" bestFit="1" customWidth="1"/>
  </cols>
  <sheetData>
    <row r="2" spans="1:6" x14ac:dyDescent="0.25">
      <c r="A2" s="99" t="s">
        <v>13</v>
      </c>
      <c r="B2" s="99"/>
      <c r="C2" s="99"/>
      <c r="D2" s="99"/>
      <c r="E2" s="99"/>
      <c r="F2" s="99"/>
    </row>
    <row r="3" spans="1:6" x14ac:dyDescent="0.25">
      <c r="A3" s="99"/>
      <c r="B3" s="99"/>
      <c r="C3" s="99"/>
      <c r="D3" s="99"/>
      <c r="E3" s="99"/>
      <c r="F3" s="99"/>
    </row>
    <row r="4" spans="1:6" x14ac:dyDescent="0.25">
      <c r="A4" s="9" t="s">
        <v>0</v>
      </c>
      <c r="B4" s="9" t="s">
        <v>8</v>
      </c>
      <c r="C4" s="9" t="s">
        <v>9</v>
      </c>
      <c r="D4" s="9" t="s">
        <v>10</v>
      </c>
      <c r="E4" s="9" t="s">
        <v>11</v>
      </c>
      <c r="F4" s="9" t="s">
        <v>12</v>
      </c>
    </row>
    <row r="5" spans="1:6" x14ac:dyDescent="0.25">
      <c r="A5" s="10" t="s">
        <v>1</v>
      </c>
      <c r="B5" s="11">
        <v>11122233344</v>
      </c>
      <c r="C5" s="12">
        <v>1612345678</v>
      </c>
      <c r="D5" s="13">
        <v>44237</v>
      </c>
      <c r="E5" s="14">
        <v>800</v>
      </c>
      <c r="F5" s="14">
        <v>950</v>
      </c>
    </row>
    <row r="6" spans="1:6" x14ac:dyDescent="0.25">
      <c r="A6" s="10" t="s">
        <v>2</v>
      </c>
      <c r="B6" s="11">
        <v>11122233344</v>
      </c>
      <c r="C6" s="12">
        <v>1612345678</v>
      </c>
      <c r="D6" s="13">
        <v>44265</v>
      </c>
      <c r="E6" s="14">
        <v>700</v>
      </c>
      <c r="F6" s="14">
        <v>500</v>
      </c>
    </row>
    <row r="7" spans="1:6" x14ac:dyDescent="0.25">
      <c r="A7" s="10" t="s">
        <v>3</v>
      </c>
      <c r="B7" s="11">
        <v>11122233344</v>
      </c>
      <c r="C7" s="12">
        <v>1612345678</v>
      </c>
      <c r="D7" s="13">
        <v>44296</v>
      </c>
      <c r="E7" s="14">
        <v>900</v>
      </c>
      <c r="F7" s="14">
        <v>700</v>
      </c>
    </row>
    <row r="8" spans="1:6" x14ac:dyDescent="0.25">
      <c r="A8" s="10" t="s">
        <v>4</v>
      </c>
      <c r="B8" s="11">
        <v>11122233344</v>
      </c>
      <c r="C8" s="12">
        <v>1612345678</v>
      </c>
      <c r="D8" s="13">
        <v>44326</v>
      </c>
      <c r="E8" s="14">
        <v>950</v>
      </c>
      <c r="F8" s="14">
        <v>600</v>
      </c>
    </row>
    <row r="9" spans="1:6" x14ac:dyDescent="0.25">
      <c r="A9" s="10" t="s">
        <v>5</v>
      </c>
      <c r="B9" s="11">
        <v>11122233344</v>
      </c>
      <c r="C9" s="12">
        <v>1612345678</v>
      </c>
      <c r="D9" s="13">
        <v>44357</v>
      </c>
      <c r="E9" s="14">
        <v>850</v>
      </c>
      <c r="F9" s="14">
        <v>850</v>
      </c>
    </row>
    <row r="10" spans="1:6" x14ac:dyDescent="0.25">
      <c r="A10" s="10" t="s">
        <v>6</v>
      </c>
      <c r="B10" s="11">
        <v>11122233344</v>
      </c>
      <c r="C10" s="12">
        <v>1612345678</v>
      </c>
      <c r="D10" s="13">
        <v>44387</v>
      </c>
      <c r="E10" s="14">
        <v>830</v>
      </c>
      <c r="F10" s="14">
        <v>500</v>
      </c>
    </row>
    <row r="11" spans="1:6" x14ac:dyDescent="0.25">
      <c r="A11" s="10" t="s">
        <v>7</v>
      </c>
      <c r="B11" s="11">
        <v>11122233344</v>
      </c>
      <c r="C11" s="12">
        <v>1612345678</v>
      </c>
      <c r="D11" s="13">
        <v>44418</v>
      </c>
      <c r="E11" s="14">
        <v>880</v>
      </c>
      <c r="F11" s="14">
        <v>600</v>
      </c>
    </row>
  </sheetData>
  <mergeCells count="1">
    <mergeCell ref="A2:F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6F7D2-B6EC-4483-9080-D03566E8BBB1}">
  <sheetPr codeName="Planilha2">
    <tabColor rgb="FF00B050"/>
  </sheetPr>
  <dimension ref="A2:E9"/>
  <sheetViews>
    <sheetView workbookViewId="0">
      <selection activeCell="H5" sqref="H5"/>
    </sheetView>
  </sheetViews>
  <sheetFormatPr defaultRowHeight="15" x14ac:dyDescent="0.25"/>
  <cols>
    <col min="1" max="1" width="12.85546875" bestFit="1" customWidth="1"/>
    <col min="2" max="2" width="17.28515625" bestFit="1" customWidth="1"/>
    <col min="3" max="3" width="12.140625" bestFit="1" customWidth="1"/>
    <col min="5" max="5" width="20.42578125" bestFit="1" customWidth="1"/>
  </cols>
  <sheetData>
    <row r="2" spans="1:5" x14ac:dyDescent="0.25">
      <c r="A2" s="9" t="s">
        <v>0</v>
      </c>
      <c r="B2" s="9" t="s">
        <v>11</v>
      </c>
      <c r="C2" s="9" t="s">
        <v>12</v>
      </c>
      <c r="E2" s="9" t="s">
        <v>14</v>
      </c>
    </row>
    <row r="3" spans="1:5" x14ac:dyDescent="0.25">
      <c r="A3" s="15" t="s">
        <v>1</v>
      </c>
      <c r="B3" s="14">
        <v>800</v>
      </c>
      <c r="C3" s="14">
        <f>B3+$E$3</f>
        <v>1000</v>
      </c>
      <c r="E3" s="16">
        <v>200</v>
      </c>
    </row>
    <row r="4" spans="1:5" x14ac:dyDescent="0.25">
      <c r="A4" s="15" t="s">
        <v>2</v>
      </c>
      <c r="B4" s="14">
        <v>700</v>
      </c>
      <c r="C4" s="14">
        <f>B4+$E$3</f>
        <v>900</v>
      </c>
    </row>
    <row r="5" spans="1:5" x14ac:dyDescent="0.25">
      <c r="A5" s="15" t="s">
        <v>3</v>
      </c>
      <c r="B5" s="14">
        <v>900</v>
      </c>
      <c r="C5" s="14">
        <f t="shared" ref="C5:C9" si="0">B5+$E$3</f>
        <v>1100</v>
      </c>
    </row>
    <row r="6" spans="1:5" x14ac:dyDescent="0.25">
      <c r="A6" s="15" t="s">
        <v>4</v>
      </c>
      <c r="B6" s="14">
        <v>950</v>
      </c>
      <c r="C6" s="14">
        <f t="shared" si="0"/>
        <v>1150</v>
      </c>
    </row>
    <row r="7" spans="1:5" x14ac:dyDescent="0.25">
      <c r="A7" s="15" t="s">
        <v>5</v>
      </c>
      <c r="B7" s="14">
        <v>850</v>
      </c>
      <c r="C7" s="14">
        <f t="shared" si="0"/>
        <v>1050</v>
      </c>
    </row>
    <row r="8" spans="1:5" x14ac:dyDescent="0.25">
      <c r="A8" s="15" t="s">
        <v>6</v>
      </c>
      <c r="B8" s="14">
        <v>830</v>
      </c>
      <c r="C8" s="14">
        <f t="shared" si="0"/>
        <v>1030</v>
      </c>
    </row>
    <row r="9" spans="1:5" x14ac:dyDescent="0.25">
      <c r="A9" s="15" t="s">
        <v>7</v>
      </c>
      <c r="B9" s="14">
        <v>880</v>
      </c>
      <c r="C9" s="14">
        <f t="shared" si="0"/>
        <v>1080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8CE21-8082-4F92-A498-A24DAC8640DF}">
  <sheetPr codeName="Planilha3">
    <tabColor rgb="FF00B050"/>
  </sheetPr>
  <dimension ref="A3:C11"/>
  <sheetViews>
    <sheetView zoomScaleNormal="100" workbookViewId="0">
      <selection activeCell="N6" sqref="N6"/>
    </sheetView>
  </sheetViews>
  <sheetFormatPr defaultRowHeight="15" x14ac:dyDescent="0.25"/>
  <cols>
    <col min="1" max="1" width="21.7109375" customWidth="1"/>
    <col min="2" max="2" width="16.28515625" customWidth="1"/>
    <col min="3" max="3" width="15.28515625" customWidth="1"/>
  </cols>
  <sheetData>
    <row r="3" spans="1:3" ht="15.75" x14ac:dyDescent="0.25">
      <c r="A3" s="100" t="s">
        <v>24</v>
      </c>
      <c r="B3" s="100"/>
      <c r="C3" s="100"/>
    </row>
    <row r="4" spans="1:3" x14ac:dyDescent="0.25">
      <c r="A4" s="20" t="s">
        <v>15</v>
      </c>
      <c r="B4" s="20" t="s">
        <v>16</v>
      </c>
      <c r="C4" s="20" t="s">
        <v>17</v>
      </c>
    </row>
    <row r="5" spans="1:3" x14ac:dyDescent="0.25">
      <c r="A5" s="18">
        <v>44460</v>
      </c>
      <c r="B5" s="1" t="s">
        <v>18</v>
      </c>
      <c r="C5" s="19">
        <v>700</v>
      </c>
    </row>
    <row r="6" spans="1:3" x14ac:dyDescent="0.25">
      <c r="A6" s="18">
        <v>44461</v>
      </c>
      <c r="B6" s="1" t="s">
        <v>19</v>
      </c>
      <c r="C6" s="19">
        <v>800</v>
      </c>
    </row>
    <row r="7" spans="1:3" x14ac:dyDescent="0.25">
      <c r="A7" s="18">
        <v>44462</v>
      </c>
      <c r="B7" s="1" t="s">
        <v>20</v>
      </c>
      <c r="C7" s="19">
        <v>900</v>
      </c>
    </row>
    <row r="8" spans="1:3" x14ac:dyDescent="0.25">
      <c r="A8" s="18">
        <v>44463</v>
      </c>
      <c r="B8" s="1" t="s">
        <v>18</v>
      </c>
      <c r="C8" s="19">
        <v>600</v>
      </c>
    </row>
    <row r="9" spans="1:3" x14ac:dyDescent="0.25">
      <c r="A9" s="18">
        <v>44464</v>
      </c>
      <c r="B9" s="1" t="s">
        <v>21</v>
      </c>
      <c r="C9" s="19">
        <v>650</v>
      </c>
    </row>
    <row r="10" spans="1:3" x14ac:dyDescent="0.25">
      <c r="A10" s="18">
        <v>44465</v>
      </c>
      <c r="B10" s="1" t="s">
        <v>22</v>
      </c>
      <c r="C10" s="19">
        <v>330</v>
      </c>
    </row>
    <row r="11" spans="1:3" x14ac:dyDescent="0.25">
      <c r="A11" s="18">
        <v>44466</v>
      </c>
      <c r="B11" s="1" t="s">
        <v>23</v>
      </c>
      <c r="C11" s="19">
        <v>400</v>
      </c>
    </row>
  </sheetData>
  <mergeCells count="1">
    <mergeCell ref="A3:C3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3177C-EFB1-43EB-96C7-A21A8460B2D6}">
  <sheetPr codeName="Planilha4">
    <tabColor rgb="FF00B050"/>
  </sheetPr>
  <dimension ref="A1:G9"/>
  <sheetViews>
    <sheetView workbookViewId="0">
      <selection activeCell="I10" sqref="I10"/>
    </sheetView>
  </sheetViews>
  <sheetFormatPr defaultRowHeight="15" x14ac:dyDescent="0.25"/>
  <cols>
    <col min="1" max="1" width="14.85546875" bestFit="1" customWidth="1"/>
    <col min="2" max="2" width="10.28515625" bestFit="1" customWidth="1"/>
    <col min="3" max="3" width="12.140625" bestFit="1" customWidth="1"/>
    <col min="5" max="5" width="14.85546875" bestFit="1" customWidth="1"/>
    <col min="6" max="6" width="10.28515625" bestFit="1" customWidth="1"/>
    <col min="7" max="7" width="12.140625" bestFit="1" customWidth="1"/>
  </cols>
  <sheetData>
    <row r="1" spans="1:7" x14ac:dyDescent="0.25">
      <c r="E1" s="101" t="s">
        <v>30</v>
      </c>
      <c r="F1" s="101"/>
      <c r="G1" s="101"/>
    </row>
    <row r="2" spans="1:7" x14ac:dyDescent="0.25">
      <c r="A2" s="15" t="s">
        <v>15</v>
      </c>
      <c r="B2" s="15" t="s">
        <v>25</v>
      </c>
      <c r="C2" s="15" t="s">
        <v>17</v>
      </c>
      <c r="D2" s="1"/>
      <c r="E2" s="15" t="s">
        <v>15</v>
      </c>
      <c r="F2" s="15" t="s">
        <v>25</v>
      </c>
      <c r="G2" s="15" t="s">
        <v>17</v>
      </c>
    </row>
    <row r="3" spans="1:7" x14ac:dyDescent="0.25">
      <c r="A3" s="7">
        <v>44449</v>
      </c>
      <c r="B3" s="6" t="s">
        <v>26</v>
      </c>
      <c r="C3" s="8">
        <v>1000</v>
      </c>
      <c r="D3" s="1"/>
      <c r="E3" s="7">
        <v>44449</v>
      </c>
      <c r="F3" s="6" t="s">
        <v>26</v>
      </c>
      <c r="G3" s="8">
        <v>1000</v>
      </c>
    </row>
    <row r="4" spans="1:7" x14ac:dyDescent="0.25">
      <c r="A4" s="7">
        <v>44450</v>
      </c>
      <c r="B4" s="6" t="s">
        <v>27</v>
      </c>
      <c r="C4" s="8">
        <v>1000</v>
      </c>
      <c r="D4" s="1"/>
      <c r="E4" s="7">
        <v>44450</v>
      </c>
      <c r="F4" s="6" t="s">
        <v>27</v>
      </c>
      <c r="G4" s="8">
        <v>1000</v>
      </c>
    </row>
    <row r="5" spans="1:7" x14ac:dyDescent="0.25">
      <c r="A5" s="7">
        <v>44451</v>
      </c>
      <c r="B5" s="6" t="s">
        <v>28</v>
      </c>
      <c r="C5" s="8">
        <v>2000</v>
      </c>
      <c r="D5" s="1"/>
      <c r="E5" s="7">
        <v>44451</v>
      </c>
      <c r="F5" s="6" t="s">
        <v>28</v>
      </c>
      <c r="G5" s="8">
        <v>2000</v>
      </c>
    </row>
    <row r="6" spans="1:7" x14ac:dyDescent="0.25">
      <c r="A6" s="7">
        <v>44452</v>
      </c>
      <c r="B6" s="6" t="s">
        <v>29</v>
      </c>
      <c r="C6" s="8">
        <v>2000</v>
      </c>
      <c r="D6" s="1"/>
      <c r="E6" s="7">
        <v>44452</v>
      </c>
      <c r="F6" s="6" t="s">
        <v>29</v>
      </c>
      <c r="G6" s="8">
        <v>2000</v>
      </c>
    </row>
    <row r="7" spans="1:7" x14ac:dyDescent="0.25">
      <c r="A7" s="7">
        <v>44453</v>
      </c>
      <c r="B7" s="6" t="s">
        <v>29</v>
      </c>
      <c r="C7" s="8">
        <v>3000</v>
      </c>
      <c r="D7" s="1"/>
      <c r="E7" s="7">
        <v>44453</v>
      </c>
      <c r="F7" s="6" t="s">
        <v>29</v>
      </c>
      <c r="G7" s="8">
        <v>3000</v>
      </c>
    </row>
    <row r="8" spans="1:7" x14ac:dyDescent="0.25">
      <c r="A8" s="7">
        <v>44454</v>
      </c>
      <c r="B8" s="6" t="s">
        <v>28</v>
      </c>
      <c r="C8" s="8">
        <v>3500</v>
      </c>
      <c r="D8" s="1"/>
      <c r="E8" s="7">
        <v>44454</v>
      </c>
      <c r="F8" s="6" t="s">
        <v>28</v>
      </c>
      <c r="G8" s="8">
        <v>3500</v>
      </c>
    </row>
    <row r="9" spans="1:7" x14ac:dyDescent="0.25">
      <c r="A9" s="7">
        <v>44455</v>
      </c>
      <c r="B9" s="6" t="s">
        <v>26</v>
      </c>
      <c r="C9" s="8">
        <v>1500</v>
      </c>
      <c r="D9" s="1"/>
      <c r="E9" s="7">
        <v>44455</v>
      </c>
      <c r="F9" s="6" t="s">
        <v>26</v>
      </c>
      <c r="G9" s="8">
        <v>1500</v>
      </c>
    </row>
  </sheetData>
  <mergeCells count="1">
    <mergeCell ref="E1:G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52324-C1A5-4DAB-A40C-C14EE5012879}">
  <sheetPr codeName="Planilha5">
    <tabColor rgb="FF00B050"/>
  </sheetPr>
  <dimension ref="A1:B8"/>
  <sheetViews>
    <sheetView workbookViewId="0">
      <selection activeCell="J6" sqref="J6"/>
    </sheetView>
  </sheetViews>
  <sheetFormatPr defaultRowHeight="15" x14ac:dyDescent="0.25"/>
  <cols>
    <col min="1" max="1" width="9.7109375" bestFit="1" customWidth="1"/>
    <col min="2" max="2" width="10.5703125" bestFit="1" customWidth="1"/>
  </cols>
  <sheetData>
    <row r="1" spans="1:2" ht="15.75" x14ac:dyDescent="0.25">
      <c r="A1" s="102" t="s">
        <v>35</v>
      </c>
      <c r="B1" s="102"/>
    </row>
    <row r="2" spans="1:2" x14ac:dyDescent="0.25">
      <c r="A2" s="21" t="s">
        <v>31</v>
      </c>
      <c r="B2" s="21" t="s">
        <v>17</v>
      </c>
    </row>
    <row r="3" spans="1:2" x14ac:dyDescent="0.25">
      <c r="A3" s="6" t="s">
        <v>32</v>
      </c>
      <c r="B3" s="8">
        <v>150</v>
      </c>
    </row>
    <row r="4" spans="1:2" x14ac:dyDescent="0.25">
      <c r="A4" s="6" t="s">
        <v>33</v>
      </c>
      <c r="B4" s="8">
        <v>300</v>
      </c>
    </row>
    <row r="5" spans="1:2" x14ac:dyDescent="0.25">
      <c r="A5" s="6" t="s">
        <v>9</v>
      </c>
      <c r="B5" s="8">
        <v>200</v>
      </c>
    </row>
    <row r="6" spans="1:2" x14ac:dyDescent="0.25">
      <c r="A6" s="6" t="s">
        <v>34</v>
      </c>
      <c r="B6" s="8">
        <v>70</v>
      </c>
    </row>
    <row r="8" spans="1:2" x14ac:dyDescent="0.25">
      <c r="A8" s="1" t="s">
        <v>36</v>
      </c>
      <c r="B8" s="22">
        <f>SUM(B3:B7)</f>
        <v>720</v>
      </c>
    </row>
  </sheetData>
  <scenarios current="2" show="2">
    <scenario name="GASTOS1" locked="1" count="2" user="Instrutor" comment="Criado por Instrutor em 13/06/2023">
      <inputCells r="B3" val="150" numFmtId="44"/>
      <inputCells r="B5" val="150" numFmtId="44"/>
    </scenario>
    <scenario name="GASTOS2" locked="1" count="2" user="Instrutor" comment="Criado por Instrutor em 13/06/2023">
      <inputCells r="B4" val="300" numFmtId="44"/>
      <inputCells r="B6" val="100" numFmtId="44"/>
    </scenario>
    <scenario name="GASTOS3" locked="1" count="3" user="Instrutor" comment="Criado por Instrutor em 13/06/2023">
      <inputCells r="B3" val="150" numFmtId="44"/>
      <inputCells r="B5" val="200" numFmtId="44"/>
      <inputCells r="B6" val="70" numFmtId="44"/>
    </scenario>
  </scenarios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8B8D-09DD-4ED8-951C-31EFCE5D23EB}">
  <sheetPr codeName="Planilha6">
    <tabColor rgb="FF00B050"/>
  </sheetPr>
  <dimension ref="A1:E6"/>
  <sheetViews>
    <sheetView workbookViewId="0">
      <selection activeCell="I10" sqref="I10"/>
    </sheetView>
  </sheetViews>
  <sheetFormatPr defaultRowHeight="15" x14ac:dyDescent="0.25"/>
  <cols>
    <col min="1" max="1" width="10.7109375" bestFit="1" customWidth="1"/>
    <col min="2" max="2" width="10.5703125" bestFit="1" customWidth="1"/>
    <col min="4" max="4" width="10.7109375" bestFit="1" customWidth="1"/>
    <col min="5" max="5" width="10.5703125" bestFit="1" customWidth="1"/>
  </cols>
  <sheetData>
    <row r="1" spans="1:5" x14ac:dyDescent="0.25">
      <c r="A1" s="103" t="s">
        <v>37</v>
      </c>
      <c r="B1" s="103"/>
      <c r="D1" s="103" t="s">
        <v>43</v>
      </c>
      <c r="E1" s="103"/>
    </row>
    <row r="2" spans="1:5" x14ac:dyDescent="0.25">
      <c r="A2" s="15" t="s">
        <v>38</v>
      </c>
      <c r="B2" s="15" t="s">
        <v>17</v>
      </c>
      <c r="C2" s="1"/>
      <c r="D2" s="15" t="s">
        <v>44</v>
      </c>
      <c r="E2" s="15" t="s">
        <v>45</v>
      </c>
    </row>
    <row r="3" spans="1:5" x14ac:dyDescent="0.25">
      <c r="A3" s="6" t="s">
        <v>39</v>
      </c>
      <c r="B3" s="8">
        <v>45</v>
      </c>
      <c r="C3" s="1"/>
      <c r="D3" s="7">
        <v>44197</v>
      </c>
      <c r="E3" s="8">
        <v>100</v>
      </c>
    </row>
    <row r="4" spans="1:5" x14ac:dyDescent="0.25">
      <c r="A4" s="6" t="s">
        <v>40</v>
      </c>
      <c r="B4" s="8">
        <v>48</v>
      </c>
      <c r="C4" s="1"/>
      <c r="D4" s="7">
        <v>44229</v>
      </c>
      <c r="E4" s="8">
        <v>200</v>
      </c>
    </row>
    <row r="5" spans="1:5" x14ac:dyDescent="0.25">
      <c r="A5" s="6" t="s">
        <v>41</v>
      </c>
      <c r="B5" s="8">
        <v>120</v>
      </c>
      <c r="C5" s="1"/>
      <c r="D5" s="7">
        <v>44258</v>
      </c>
      <c r="E5" s="8">
        <v>300</v>
      </c>
    </row>
    <row r="6" spans="1:5" x14ac:dyDescent="0.25">
      <c r="A6" s="6" t="s">
        <v>42</v>
      </c>
      <c r="B6" s="8">
        <v>115</v>
      </c>
      <c r="C6" s="1"/>
      <c r="D6" s="7">
        <v>44290</v>
      </c>
      <c r="E6" s="8">
        <v>400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3CC8F-DF9F-44DB-B70F-73B9088BD7E4}">
  <sheetPr codeName="Planilha7">
    <tabColor rgb="FF00E266"/>
  </sheetPr>
  <dimension ref="A1:E6"/>
  <sheetViews>
    <sheetView workbookViewId="0">
      <selection activeCell="C6" sqref="C6"/>
    </sheetView>
  </sheetViews>
  <sheetFormatPr defaultRowHeight="15" x14ac:dyDescent="0.25"/>
  <cols>
    <col min="1" max="1" width="10.7109375" bestFit="1" customWidth="1"/>
    <col min="2" max="2" width="11.140625" customWidth="1"/>
    <col min="3" max="3" width="20.140625" customWidth="1"/>
    <col min="4" max="4" width="37.140625" customWidth="1"/>
    <col min="5" max="5" width="38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48</v>
      </c>
    </row>
    <row r="2" spans="1:5" x14ac:dyDescent="0.25">
      <c r="A2" s="17">
        <v>44197</v>
      </c>
      <c r="B2" s="22">
        <v>100</v>
      </c>
    </row>
    <row r="3" spans="1:5" x14ac:dyDescent="0.25">
      <c r="A3" s="17">
        <v>44229</v>
      </c>
      <c r="B3" s="22">
        <v>200</v>
      </c>
    </row>
    <row r="4" spans="1:5" x14ac:dyDescent="0.25">
      <c r="A4" s="17">
        <v>44258</v>
      </c>
      <c r="B4" s="22">
        <v>300</v>
      </c>
    </row>
    <row r="5" spans="1:5" x14ac:dyDescent="0.25">
      <c r="A5" s="17">
        <v>44290</v>
      </c>
      <c r="B5" s="22">
        <v>400</v>
      </c>
      <c r="C5" s="22">
        <v>400</v>
      </c>
      <c r="D5" s="22">
        <v>400</v>
      </c>
      <c r="E5" s="22">
        <v>400</v>
      </c>
    </row>
    <row r="6" spans="1:5" x14ac:dyDescent="0.25">
      <c r="A6" s="17">
        <v>44322</v>
      </c>
      <c r="C6" s="22">
        <f>_xlfn.FORECAST.ETS(A6,$B$2:$B$5,$A$2:$A$5,1,1)</f>
        <v>500</v>
      </c>
      <c r="D6" s="22">
        <f>C6-_xlfn.FORECAST.ETS.CONFINT(A6,$B$2:$B$5,$A$2:$A$5,0.95,1,1)</f>
        <v>500</v>
      </c>
      <c r="E6" s="22">
        <f>C6+_xlfn.FORECAST.ETS.CONFINT(A6,$B$2:$B$5,$A$2:$A$5,0.95,1,1)</f>
        <v>500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0E3FE-6A08-4076-9F4A-6257D385E1CC}">
  <sheetPr codeName="Planilha8">
    <tabColor rgb="FF00B050"/>
    <outlinePr applyStyles="1"/>
  </sheetPr>
  <dimension ref="A1:D13"/>
  <sheetViews>
    <sheetView workbookViewId="0">
      <selection activeCell="H25" sqref="H25"/>
    </sheetView>
  </sheetViews>
  <sheetFormatPr defaultRowHeight="15" x14ac:dyDescent="0.25"/>
  <cols>
    <col min="1" max="1" width="6.42578125" bestFit="1" customWidth="1"/>
    <col min="2" max="2" width="11.42578125" bestFit="1" customWidth="1"/>
    <col min="3" max="3" width="21.140625" bestFit="1" customWidth="1"/>
    <col min="4" max="4" width="16.28515625" bestFit="1" customWidth="1"/>
  </cols>
  <sheetData>
    <row r="1" spans="1:4" x14ac:dyDescent="0.25">
      <c r="A1" s="104" t="s">
        <v>53</v>
      </c>
      <c r="B1" s="104"/>
      <c r="C1" s="104"/>
      <c r="D1" s="104"/>
    </row>
    <row r="2" spans="1:4" x14ac:dyDescent="0.25">
      <c r="A2" s="104"/>
      <c r="B2" s="104"/>
      <c r="C2" s="104"/>
      <c r="D2" s="104"/>
    </row>
    <row r="3" spans="1:4" x14ac:dyDescent="0.25">
      <c r="A3" s="24" t="s">
        <v>49</v>
      </c>
      <c r="B3" s="24" t="s">
        <v>50</v>
      </c>
      <c r="C3" s="24" t="s">
        <v>51</v>
      </c>
      <c r="D3" s="24" t="s">
        <v>52</v>
      </c>
    </row>
    <row r="4" spans="1:4" x14ac:dyDescent="0.25">
      <c r="A4" s="6">
        <v>1</v>
      </c>
      <c r="B4" s="6" t="s">
        <v>54</v>
      </c>
      <c r="C4" s="6" t="s">
        <v>63</v>
      </c>
      <c r="D4" s="8">
        <v>8000</v>
      </c>
    </row>
    <row r="5" spans="1:4" x14ac:dyDescent="0.25">
      <c r="A5" s="6">
        <v>2</v>
      </c>
      <c r="B5" s="6" t="s">
        <v>55</v>
      </c>
      <c r="C5" s="6" t="s">
        <v>64</v>
      </c>
      <c r="D5" s="8">
        <v>5000</v>
      </c>
    </row>
    <row r="6" spans="1:4" x14ac:dyDescent="0.25">
      <c r="A6" s="6">
        <v>3</v>
      </c>
      <c r="B6" s="6" t="s">
        <v>56</v>
      </c>
      <c r="C6" s="6" t="s">
        <v>65</v>
      </c>
      <c r="D6" s="8">
        <v>2000</v>
      </c>
    </row>
    <row r="7" spans="1:4" x14ac:dyDescent="0.25">
      <c r="A7" s="6">
        <v>4</v>
      </c>
      <c r="B7" s="6" t="s">
        <v>7</v>
      </c>
      <c r="C7" s="6" t="s">
        <v>66</v>
      </c>
      <c r="D7" s="8">
        <v>3000</v>
      </c>
    </row>
    <row r="8" spans="1:4" x14ac:dyDescent="0.25">
      <c r="A8" s="6">
        <v>5</v>
      </c>
      <c r="B8" s="6" t="s">
        <v>57</v>
      </c>
      <c r="C8" s="6" t="s">
        <v>63</v>
      </c>
      <c r="D8" s="8">
        <v>10000</v>
      </c>
    </row>
    <row r="9" spans="1:4" x14ac:dyDescent="0.25">
      <c r="A9" s="6">
        <v>6</v>
      </c>
      <c r="B9" s="6" t="s">
        <v>58</v>
      </c>
      <c r="C9" s="6" t="s">
        <v>64</v>
      </c>
      <c r="D9" s="8">
        <v>20000</v>
      </c>
    </row>
    <row r="10" spans="1:4" x14ac:dyDescent="0.25">
      <c r="A10" s="6">
        <v>7</v>
      </c>
      <c r="B10" s="6" t="s">
        <v>59</v>
      </c>
      <c r="C10" s="6" t="s">
        <v>65</v>
      </c>
      <c r="D10" s="8">
        <v>10000</v>
      </c>
    </row>
    <row r="11" spans="1:4" x14ac:dyDescent="0.25">
      <c r="A11" s="6">
        <v>8</v>
      </c>
      <c r="B11" s="6" t="s">
        <v>60</v>
      </c>
      <c r="C11" s="6" t="s">
        <v>66</v>
      </c>
      <c r="D11" s="8">
        <v>5000</v>
      </c>
    </row>
    <row r="12" spans="1:4" x14ac:dyDescent="0.25">
      <c r="A12" s="6">
        <v>9</v>
      </c>
      <c r="B12" s="6" t="s">
        <v>61</v>
      </c>
      <c r="C12" s="6" t="s">
        <v>63</v>
      </c>
      <c r="D12" s="8">
        <v>4000</v>
      </c>
    </row>
    <row r="13" spans="1:4" x14ac:dyDescent="0.25">
      <c r="A13" s="6">
        <v>10</v>
      </c>
      <c r="B13" s="6" t="s">
        <v>62</v>
      </c>
      <c r="C13" s="6" t="s">
        <v>64</v>
      </c>
      <c r="D13" s="8">
        <v>15000</v>
      </c>
    </row>
  </sheetData>
  <mergeCells count="1">
    <mergeCell ref="A1:D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4BEE-FFBE-46A0-AF37-CF760FA1CCA2}">
  <sheetPr codeName="Planilha9">
    <tabColor rgb="FF00B050"/>
  </sheetPr>
  <dimension ref="A1:G15"/>
  <sheetViews>
    <sheetView workbookViewId="0">
      <selection activeCell="D17" sqref="D17"/>
    </sheetView>
  </sheetViews>
  <sheetFormatPr defaultRowHeight="15" x14ac:dyDescent="0.25"/>
  <cols>
    <col min="1" max="1" width="24" bestFit="1" customWidth="1"/>
    <col min="2" max="2" width="12.7109375" bestFit="1" customWidth="1"/>
    <col min="3" max="3" width="5.140625" bestFit="1" customWidth="1"/>
    <col min="4" max="4" width="11.42578125" bestFit="1" customWidth="1"/>
    <col min="6" max="6" width="10.7109375" bestFit="1" customWidth="1"/>
    <col min="7" max="7" width="28.7109375" bestFit="1" customWidth="1"/>
  </cols>
  <sheetData>
    <row r="1" spans="1:7" x14ac:dyDescent="0.25">
      <c r="A1" s="105" t="s">
        <v>67</v>
      </c>
      <c r="B1" s="105"/>
      <c r="C1" s="105"/>
      <c r="D1" s="105"/>
      <c r="F1" s="105" t="s">
        <v>79</v>
      </c>
      <c r="G1" s="105"/>
    </row>
    <row r="2" spans="1:7" x14ac:dyDescent="0.25">
      <c r="A2" s="105"/>
      <c r="B2" s="105"/>
      <c r="C2" s="105"/>
      <c r="D2" s="105"/>
      <c r="F2" s="105"/>
      <c r="G2" s="105"/>
    </row>
    <row r="3" spans="1:7" x14ac:dyDescent="0.25">
      <c r="F3" s="2" t="s">
        <v>80</v>
      </c>
      <c r="G3" s="2" t="s">
        <v>81</v>
      </c>
    </row>
    <row r="4" spans="1:7" x14ac:dyDescent="0.25">
      <c r="A4" s="4" t="s">
        <v>69</v>
      </c>
      <c r="B4" s="4" t="s">
        <v>68</v>
      </c>
      <c r="C4" s="4" t="s">
        <v>70</v>
      </c>
      <c r="D4" s="4" t="s">
        <v>71</v>
      </c>
      <c r="F4" s="5">
        <v>44197</v>
      </c>
      <c r="G4" s="4" t="s">
        <v>82</v>
      </c>
    </row>
    <row r="5" spans="1:7" x14ac:dyDescent="0.25">
      <c r="A5" s="2" t="s">
        <v>72</v>
      </c>
      <c r="B5" s="5">
        <v>44501</v>
      </c>
      <c r="C5" s="2">
        <v>2</v>
      </c>
      <c r="D5" s="5">
        <f>WORKDAY(B5,C5,$F$4:$F$15)</f>
        <v>44503</v>
      </c>
      <c r="F5" s="5">
        <v>44260</v>
      </c>
      <c r="G5" s="2" t="s">
        <v>83</v>
      </c>
    </row>
    <row r="6" spans="1:7" x14ac:dyDescent="0.25">
      <c r="A6" s="2" t="s">
        <v>73</v>
      </c>
      <c r="B6" s="5">
        <v>44504</v>
      </c>
      <c r="C6" s="2">
        <v>3</v>
      </c>
      <c r="D6" s="5">
        <f t="shared" ref="D6:D11" si="0">WORKDAY(B6,C6,$F$4:$F$15)</f>
        <v>44509</v>
      </c>
      <c r="F6" s="5">
        <v>44261</v>
      </c>
      <c r="G6" s="2" t="s">
        <v>84</v>
      </c>
    </row>
    <row r="7" spans="1:7" x14ac:dyDescent="0.25">
      <c r="A7" s="2" t="s">
        <v>74</v>
      </c>
      <c r="B7" s="5">
        <v>44508</v>
      </c>
      <c r="C7" s="2">
        <v>3</v>
      </c>
      <c r="D7" s="5">
        <f t="shared" si="0"/>
        <v>44511</v>
      </c>
      <c r="F7" s="5">
        <v>44305</v>
      </c>
      <c r="G7" s="2" t="s">
        <v>85</v>
      </c>
    </row>
    <row r="8" spans="1:7" x14ac:dyDescent="0.25">
      <c r="A8" s="2" t="s">
        <v>75</v>
      </c>
      <c r="B8" s="5">
        <v>44513</v>
      </c>
      <c r="C8" s="2">
        <v>4</v>
      </c>
      <c r="D8" s="5">
        <f t="shared" si="0"/>
        <v>44519</v>
      </c>
      <c r="F8" s="5">
        <v>44307</v>
      </c>
      <c r="G8" s="2" t="s">
        <v>86</v>
      </c>
    </row>
    <row r="9" spans="1:7" x14ac:dyDescent="0.25">
      <c r="A9" s="2" t="s">
        <v>76</v>
      </c>
      <c r="B9" s="5">
        <v>44522</v>
      </c>
      <c r="C9" s="2">
        <v>4</v>
      </c>
      <c r="D9" s="5">
        <f t="shared" si="0"/>
        <v>44526</v>
      </c>
      <c r="F9" s="5">
        <v>44319</v>
      </c>
      <c r="G9" s="2" t="s">
        <v>87</v>
      </c>
    </row>
    <row r="10" spans="1:7" x14ac:dyDescent="0.25">
      <c r="A10" s="2" t="s">
        <v>77</v>
      </c>
      <c r="B10" s="5">
        <v>44524</v>
      </c>
      <c r="C10" s="2">
        <v>2</v>
      </c>
      <c r="D10" s="5">
        <f t="shared" si="0"/>
        <v>44526</v>
      </c>
      <c r="F10" s="5">
        <v>44367</v>
      </c>
      <c r="G10" s="2" t="s">
        <v>88</v>
      </c>
    </row>
    <row r="11" spans="1:7" x14ac:dyDescent="0.25">
      <c r="A11" s="2" t="s">
        <v>78</v>
      </c>
      <c r="B11" s="5">
        <v>44527</v>
      </c>
      <c r="C11" s="2">
        <v>5</v>
      </c>
      <c r="D11" s="5">
        <f t="shared" si="0"/>
        <v>44533</v>
      </c>
      <c r="F11" s="5">
        <v>44446</v>
      </c>
      <c r="G11" s="2" t="s">
        <v>89</v>
      </c>
    </row>
    <row r="12" spans="1:7" x14ac:dyDescent="0.25">
      <c r="F12" s="5">
        <v>44481</v>
      </c>
      <c r="G12" s="2" t="s">
        <v>90</v>
      </c>
    </row>
    <row r="13" spans="1:7" x14ac:dyDescent="0.25">
      <c r="F13" s="5">
        <v>44507</v>
      </c>
      <c r="G13" s="2" t="s">
        <v>91</v>
      </c>
    </row>
    <row r="14" spans="1:7" x14ac:dyDescent="0.25">
      <c r="F14" s="5">
        <v>44515</v>
      </c>
      <c r="G14" s="2" t="s">
        <v>92</v>
      </c>
    </row>
    <row r="15" spans="1:7" x14ac:dyDescent="0.25">
      <c r="F15" s="5">
        <v>44555</v>
      </c>
      <c r="G15" s="2" t="s">
        <v>93</v>
      </c>
    </row>
  </sheetData>
  <mergeCells count="2">
    <mergeCell ref="A1:D2"/>
    <mergeCell ref="F1:G2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B2059-295F-4802-AAE4-E2D7A0D4C307}">
  <sheetPr codeName="Planilha10">
    <tabColor rgb="FF00B050"/>
  </sheetPr>
  <dimension ref="A1:I8"/>
  <sheetViews>
    <sheetView workbookViewId="0">
      <selection activeCell="G10" sqref="G10"/>
    </sheetView>
  </sheetViews>
  <sheetFormatPr defaultRowHeight="15" x14ac:dyDescent="0.25"/>
  <cols>
    <col min="1" max="1" width="19.140625" bestFit="1" customWidth="1"/>
    <col min="2" max="2" width="12.140625" bestFit="1" customWidth="1"/>
    <col min="3" max="3" width="13.28515625" bestFit="1" customWidth="1"/>
    <col min="4" max="7" width="12.140625" bestFit="1" customWidth="1"/>
    <col min="8" max="9" width="13.28515625" bestFit="1" customWidth="1"/>
  </cols>
  <sheetData>
    <row r="1" spans="1:9" ht="16.5" thickBot="1" x14ac:dyDescent="0.3">
      <c r="A1" s="106" t="s">
        <v>99</v>
      </c>
      <c r="B1" s="106"/>
      <c r="C1" s="106"/>
      <c r="D1" s="106"/>
      <c r="E1" s="106"/>
      <c r="F1" s="106"/>
      <c r="G1" s="106"/>
      <c r="H1" s="106"/>
      <c r="I1" s="106"/>
    </row>
    <row r="2" spans="1:9" x14ac:dyDescent="0.25">
      <c r="A2" s="32" t="s">
        <v>95</v>
      </c>
      <c r="B2" s="28">
        <v>231</v>
      </c>
      <c r="C2" s="29">
        <v>3124</v>
      </c>
      <c r="D2" s="29">
        <v>321</v>
      </c>
      <c r="E2" s="29">
        <v>800</v>
      </c>
      <c r="F2" s="29">
        <v>981</v>
      </c>
      <c r="G2" s="29">
        <v>35</v>
      </c>
      <c r="H2" s="29">
        <v>51</v>
      </c>
      <c r="I2" s="29">
        <v>564</v>
      </c>
    </row>
    <row r="3" spans="1:9" x14ac:dyDescent="0.25">
      <c r="A3" s="33" t="s">
        <v>94</v>
      </c>
      <c r="B3" s="30">
        <v>4000</v>
      </c>
      <c r="C3" s="31">
        <v>53432</v>
      </c>
      <c r="D3" s="31">
        <v>4843</v>
      </c>
      <c r="E3" s="31">
        <v>1234</v>
      </c>
      <c r="F3" s="31">
        <v>3548</v>
      </c>
      <c r="G3" s="31">
        <v>6483</v>
      </c>
      <c r="H3" s="31">
        <v>21868</v>
      </c>
      <c r="I3" s="31">
        <v>21486</v>
      </c>
    </row>
    <row r="4" spans="1:9" ht="15.75" thickBot="1" x14ac:dyDescent="0.3">
      <c r="A4" s="35" t="s">
        <v>96</v>
      </c>
      <c r="B4" s="26">
        <v>0.02</v>
      </c>
      <c r="C4" s="25">
        <v>0.03</v>
      </c>
      <c r="D4" s="25">
        <v>0.04</v>
      </c>
      <c r="E4" s="25">
        <v>0.05</v>
      </c>
      <c r="F4" s="25">
        <v>0.06</v>
      </c>
      <c r="G4" s="25">
        <v>7.0000000000000007E-2</v>
      </c>
      <c r="H4" s="25">
        <v>0.08</v>
      </c>
      <c r="I4" s="25">
        <v>0.09</v>
      </c>
    </row>
    <row r="6" spans="1:9" ht="15.75" thickBot="1" x14ac:dyDescent="0.3"/>
    <row r="7" spans="1:9" x14ac:dyDescent="0.25">
      <c r="A7" s="34" t="s">
        <v>97</v>
      </c>
      <c r="B7" s="27">
        <v>800</v>
      </c>
      <c r="C7" s="3">
        <v>6500</v>
      </c>
      <c r="D7" s="3">
        <v>4000</v>
      </c>
    </row>
    <row r="8" spans="1:9" ht="15.75" thickBot="1" x14ac:dyDescent="0.3">
      <c r="A8" s="35" t="s">
        <v>98</v>
      </c>
      <c r="B8" s="36">
        <f>HLOOKUP(B7,B2:I4,3)</f>
        <v>0.05</v>
      </c>
      <c r="C8" s="37">
        <f>HLOOKUP(C7,B2:I4,3,1)</f>
        <v>0.09</v>
      </c>
      <c r="D8" s="37">
        <f>HLOOKUP(D7,B2:I4,3)</f>
        <v>0.09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56618-0B56-44D6-A924-0856E14DF2AB}">
  <sheetPr codeName="Planilha11">
    <tabColor rgb="FF00B050"/>
  </sheetPr>
  <dimension ref="A1:H16"/>
  <sheetViews>
    <sheetView workbookViewId="0">
      <selection activeCell="E9" sqref="E9"/>
    </sheetView>
  </sheetViews>
  <sheetFormatPr defaultRowHeight="15" x14ac:dyDescent="0.25"/>
  <cols>
    <col min="3" max="3" width="13.5703125" bestFit="1" customWidth="1"/>
    <col min="4" max="4" width="21" bestFit="1" customWidth="1"/>
    <col min="5" max="6" width="12.85546875" bestFit="1" customWidth="1"/>
    <col min="7" max="7" width="10.5703125" bestFit="1" customWidth="1"/>
    <col min="8" max="8" width="21" bestFit="1" customWidth="1"/>
  </cols>
  <sheetData>
    <row r="1" spans="1:8" ht="18.75" x14ac:dyDescent="0.3">
      <c r="A1" s="107" t="s">
        <v>100</v>
      </c>
      <c r="B1" s="108"/>
      <c r="C1" s="108"/>
      <c r="D1" s="108"/>
      <c r="E1" s="108"/>
      <c r="F1" s="109"/>
      <c r="H1" s="38" t="s">
        <v>108</v>
      </c>
    </row>
    <row r="2" spans="1:8" x14ac:dyDescent="0.25">
      <c r="A2" s="39" t="s">
        <v>101</v>
      </c>
      <c r="B2" s="39" t="s">
        <v>102</v>
      </c>
      <c r="C2" s="39" t="s">
        <v>103</v>
      </c>
      <c r="D2" s="39" t="s">
        <v>104</v>
      </c>
      <c r="E2" s="39" t="s">
        <v>105</v>
      </c>
      <c r="F2" s="39" t="s">
        <v>106</v>
      </c>
      <c r="G2" s="40" t="s">
        <v>107</v>
      </c>
      <c r="H2" s="39"/>
    </row>
    <row r="3" spans="1:8" x14ac:dyDescent="0.25">
      <c r="A3" s="41">
        <v>1</v>
      </c>
      <c r="B3" s="41" t="s">
        <v>109</v>
      </c>
      <c r="C3" s="41" t="s">
        <v>122</v>
      </c>
      <c r="D3" s="42" t="s">
        <v>141</v>
      </c>
      <c r="E3" s="43">
        <v>5512345547</v>
      </c>
      <c r="F3" s="43">
        <v>1111235678</v>
      </c>
      <c r="H3" s="45" t="str">
        <f>INDEX(A3:F16,1,3)</f>
        <v>Curitiba</v>
      </c>
    </row>
    <row r="4" spans="1:8" x14ac:dyDescent="0.25">
      <c r="A4" s="41">
        <v>2</v>
      </c>
      <c r="B4" s="41" t="s">
        <v>110</v>
      </c>
      <c r="C4" s="41" t="s">
        <v>123</v>
      </c>
      <c r="D4" s="42" t="s">
        <v>127</v>
      </c>
      <c r="E4" s="43">
        <v>5512345547</v>
      </c>
      <c r="F4" s="43">
        <v>1111235678</v>
      </c>
      <c r="H4" s="45" t="str">
        <f>INDEX(A3:F16,2,2)</f>
        <v>Ana Paula</v>
      </c>
    </row>
    <row r="5" spans="1:8" x14ac:dyDescent="0.25">
      <c r="A5" s="41">
        <v>3</v>
      </c>
      <c r="B5" s="41" t="s">
        <v>111</v>
      </c>
      <c r="C5" s="41" t="s">
        <v>124</v>
      </c>
      <c r="D5" s="42" t="s">
        <v>128</v>
      </c>
      <c r="E5" s="43">
        <v>5512345547</v>
      </c>
      <c r="F5" s="43">
        <v>1111235678</v>
      </c>
      <c r="H5" s="46">
        <f>INDEX(A3:F16,2,5)</f>
        <v>5512345547</v>
      </c>
    </row>
    <row r="6" spans="1:8" x14ac:dyDescent="0.25">
      <c r="A6" s="41">
        <v>4</v>
      </c>
      <c r="B6" s="41" t="s">
        <v>112</v>
      </c>
      <c r="C6" s="41" t="s">
        <v>125</v>
      </c>
      <c r="D6" s="42" t="s">
        <v>129</v>
      </c>
      <c r="E6" s="43">
        <v>5512345547</v>
      </c>
      <c r="F6" s="43">
        <v>1111235678</v>
      </c>
      <c r="H6" s="46">
        <f>INDEX(A3:F16,2,6)</f>
        <v>1111235678</v>
      </c>
    </row>
    <row r="7" spans="1:8" x14ac:dyDescent="0.25">
      <c r="A7" s="41">
        <v>5</v>
      </c>
      <c r="B7" s="41" t="s">
        <v>113</v>
      </c>
      <c r="C7" s="41" t="s">
        <v>126</v>
      </c>
      <c r="D7" s="42" t="s">
        <v>130</v>
      </c>
      <c r="E7" s="43">
        <v>5512345547</v>
      </c>
      <c r="F7" s="43">
        <v>1111235678</v>
      </c>
      <c r="H7" s="45" t="str">
        <f>INDEX(A3:F16,3,2)</f>
        <v>Juliane</v>
      </c>
    </row>
    <row r="8" spans="1:8" x14ac:dyDescent="0.25">
      <c r="A8" s="41">
        <v>6</v>
      </c>
      <c r="B8" s="41" t="s">
        <v>114</v>
      </c>
      <c r="C8" s="41" t="s">
        <v>122</v>
      </c>
      <c r="D8" s="42" t="s">
        <v>131</v>
      </c>
      <c r="E8" s="43">
        <v>5512345547</v>
      </c>
      <c r="F8" s="43">
        <v>1111235678</v>
      </c>
      <c r="H8" s="45" t="str">
        <f>INDEX(A3:F16,2,3)</f>
        <v>São Paulo</v>
      </c>
    </row>
    <row r="9" spans="1:8" x14ac:dyDescent="0.25">
      <c r="A9" s="41">
        <v>7</v>
      </c>
      <c r="B9" s="41" t="s">
        <v>115</v>
      </c>
      <c r="C9" s="41" t="s">
        <v>123</v>
      </c>
      <c r="D9" s="42" t="s">
        <v>132</v>
      </c>
      <c r="E9" s="43">
        <v>5512345547</v>
      </c>
      <c r="F9" s="43">
        <v>1111235678</v>
      </c>
      <c r="H9" s="45" t="str">
        <f>INDEX(A3:F16,9,4)</f>
        <v>lu@email.com</v>
      </c>
    </row>
    <row r="10" spans="1:8" x14ac:dyDescent="0.25">
      <c r="A10" s="41">
        <v>8</v>
      </c>
      <c r="B10" s="41" t="s">
        <v>116</v>
      </c>
      <c r="C10" s="41" t="s">
        <v>124</v>
      </c>
      <c r="D10" s="42" t="s">
        <v>133</v>
      </c>
      <c r="E10" s="43">
        <v>5512345547</v>
      </c>
      <c r="F10" s="43">
        <v>1111235678</v>
      </c>
      <c r="H10" s="46">
        <f>INDEX(A7:F20,2,6)</f>
        <v>1111235678</v>
      </c>
    </row>
    <row r="11" spans="1:8" x14ac:dyDescent="0.25">
      <c r="A11" s="41">
        <v>9</v>
      </c>
      <c r="B11" s="41" t="s">
        <v>117</v>
      </c>
      <c r="C11" s="41" t="s">
        <v>125</v>
      </c>
      <c r="D11" s="42" t="s">
        <v>134</v>
      </c>
      <c r="E11" s="43">
        <v>5512345547</v>
      </c>
      <c r="F11" s="43">
        <v>1111235678</v>
      </c>
      <c r="H11" s="46">
        <f>INDEX(A9:F22,2,5)</f>
        <v>5512345547</v>
      </c>
    </row>
    <row r="12" spans="1:8" x14ac:dyDescent="0.25">
      <c r="A12" s="41">
        <v>10</v>
      </c>
      <c r="B12" s="41" t="s">
        <v>118</v>
      </c>
      <c r="C12" s="41" t="s">
        <v>126</v>
      </c>
      <c r="D12" s="42" t="s">
        <v>135</v>
      </c>
      <c r="E12" s="43">
        <v>5512345547</v>
      </c>
      <c r="F12" s="43">
        <v>1111235678</v>
      </c>
      <c r="H12" s="45" t="str">
        <f>INDEX(A3:F16,12,4)</f>
        <v>duda@email.com</v>
      </c>
    </row>
    <row r="13" spans="1:8" x14ac:dyDescent="0.25">
      <c r="A13" s="41">
        <v>11</v>
      </c>
      <c r="B13" s="41" t="s">
        <v>119</v>
      </c>
      <c r="C13" s="41" t="s">
        <v>122</v>
      </c>
      <c r="D13" s="42" t="s">
        <v>136</v>
      </c>
      <c r="E13" s="43">
        <v>5512345547</v>
      </c>
      <c r="F13" s="43">
        <v>1111235678</v>
      </c>
      <c r="H13" s="45" t="str">
        <f>INDEX(A3:F16,13,3)</f>
        <v>Taquaritinga</v>
      </c>
    </row>
    <row r="14" spans="1:8" x14ac:dyDescent="0.25">
      <c r="A14" s="41">
        <v>12</v>
      </c>
      <c r="B14" s="41" t="s">
        <v>120</v>
      </c>
      <c r="C14" s="41" t="s">
        <v>123</v>
      </c>
      <c r="D14" s="42" t="s">
        <v>137</v>
      </c>
      <c r="E14" s="43">
        <v>5512345547</v>
      </c>
      <c r="F14" s="43">
        <v>1111235678</v>
      </c>
      <c r="H14" s="45" t="str">
        <f>INDEX(A3:F16,14,2)</f>
        <v>Lucia</v>
      </c>
    </row>
    <row r="15" spans="1:8" x14ac:dyDescent="0.25">
      <c r="A15" s="41">
        <v>13</v>
      </c>
      <c r="B15" s="41" t="s">
        <v>139</v>
      </c>
      <c r="C15" s="41" t="s">
        <v>124</v>
      </c>
      <c r="D15" s="42" t="s">
        <v>138</v>
      </c>
      <c r="E15" s="43">
        <v>5512345547</v>
      </c>
      <c r="F15" s="43">
        <v>1111235678</v>
      </c>
      <c r="H15" s="45" t="str">
        <f>INDEX(A3:F16,1,4)</f>
        <v>anderson@email.com</v>
      </c>
    </row>
    <row r="16" spans="1:8" x14ac:dyDescent="0.25">
      <c r="A16" s="41">
        <v>14</v>
      </c>
      <c r="B16" s="41" t="s">
        <v>121</v>
      </c>
      <c r="C16" s="41" t="s">
        <v>125</v>
      </c>
      <c r="D16" s="42" t="s">
        <v>140</v>
      </c>
      <c r="E16" s="43">
        <v>5512345547</v>
      </c>
      <c r="F16" s="43">
        <v>1111235678</v>
      </c>
      <c r="H16" s="45" t="str">
        <f>INDEX(A3:F16,14,3)</f>
        <v>Rio de Janeiro</v>
      </c>
    </row>
  </sheetData>
  <mergeCells count="1">
    <mergeCell ref="A1:F1"/>
  </mergeCells>
  <hyperlinks>
    <hyperlink ref="D3" r:id="rId1" xr:uid="{36A828F2-953C-4DB4-B235-DC530B0F8633}"/>
    <hyperlink ref="D4" r:id="rId2" xr:uid="{5070D0B9-26A6-4898-947A-98B1FFFB50B6}"/>
    <hyperlink ref="D5" r:id="rId3" xr:uid="{5B9FB408-4D0B-44C7-89F7-BF44E3BF9D98}"/>
    <hyperlink ref="D6" r:id="rId4" xr:uid="{090350C7-EA23-4EB8-A14A-5EF6007D6B16}"/>
    <hyperlink ref="D7" r:id="rId5" xr:uid="{A65158EA-E8EF-45CB-BA12-0FE6F38D4E60}"/>
    <hyperlink ref="D8" r:id="rId6" xr:uid="{C7CE5017-FCAE-4DB8-9EA4-70141A29C1DF}"/>
    <hyperlink ref="D9" r:id="rId7" xr:uid="{C2A810B8-08F2-425E-BD3C-2E782EE1BBA5}"/>
    <hyperlink ref="D10" r:id="rId8" xr:uid="{D8068DD1-12B8-4AAB-BEB1-9FC727DE0268}"/>
    <hyperlink ref="D11" r:id="rId9" xr:uid="{55531B39-D51A-4ED7-A4E5-34B13A823FCB}"/>
    <hyperlink ref="D12" r:id="rId10" xr:uid="{4475CEF7-F604-4B56-B52D-B9A179C84B4B}"/>
    <hyperlink ref="D13" r:id="rId11" xr:uid="{68B585B8-5E04-4156-8414-7B4277D68A3A}"/>
    <hyperlink ref="D14" r:id="rId12" xr:uid="{6E916055-84B9-4E58-9C71-B9105CC2B589}"/>
    <hyperlink ref="D15" r:id="rId13" xr:uid="{7C66EEB0-7BCF-49DD-B2C7-3C95B41F97CD}"/>
    <hyperlink ref="D16" r:id="rId14" xr:uid="{401D90DC-35FF-4DF4-8CF2-B94F6EF0D9F3}"/>
  </hyperlink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2594-9658-4F75-AFEB-FE56501FDE88}">
  <sheetPr codeName="Planilha12">
    <tabColor rgb="FF00B050"/>
  </sheetPr>
  <dimension ref="A1:I16"/>
  <sheetViews>
    <sheetView workbookViewId="0">
      <selection activeCell="H9" sqref="H9"/>
    </sheetView>
  </sheetViews>
  <sheetFormatPr defaultRowHeight="15" x14ac:dyDescent="0.25"/>
  <cols>
    <col min="2" max="2" width="13.7109375" bestFit="1" customWidth="1"/>
    <col min="3" max="3" width="13.5703125" bestFit="1" customWidth="1"/>
    <col min="4" max="4" width="20.7109375" bestFit="1" customWidth="1"/>
    <col min="5" max="6" width="12.85546875" bestFit="1" customWidth="1"/>
    <col min="7" max="7" width="10.5703125" bestFit="1" customWidth="1"/>
    <col min="8" max="8" width="14.42578125" bestFit="1" customWidth="1"/>
    <col min="9" max="9" width="20.5703125" customWidth="1"/>
  </cols>
  <sheetData>
    <row r="1" spans="1:9" ht="18.75" x14ac:dyDescent="0.3">
      <c r="A1" s="107" t="s">
        <v>100</v>
      </c>
      <c r="B1" s="108"/>
      <c r="C1" s="108"/>
      <c r="D1" s="108"/>
      <c r="E1" s="108"/>
      <c r="F1" s="109"/>
      <c r="H1" s="107" t="s">
        <v>142</v>
      </c>
      <c r="I1" s="109"/>
    </row>
    <row r="2" spans="1:9" x14ac:dyDescent="0.25">
      <c r="A2" s="39" t="s">
        <v>101</v>
      </c>
      <c r="B2" s="39" t="s">
        <v>102</v>
      </c>
      <c r="C2" s="39" t="s">
        <v>103</v>
      </c>
      <c r="D2" s="39" t="s">
        <v>104</v>
      </c>
      <c r="E2" s="39" t="s">
        <v>105</v>
      </c>
      <c r="F2" s="39" t="s">
        <v>106</v>
      </c>
      <c r="G2" s="40" t="s">
        <v>107</v>
      </c>
      <c r="H2" s="110"/>
      <c r="I2" s="111"/>
    </row>
    <row r="3" spans="1:9" x14ac:dyDescent="0.25">
      <c r="A3" s="41">
        <v>1</v>
      </c>
      <c r="B3" s="41" t="s">
        <v>109</v>
      </c>
      <c r="C3" s="41" t="s">
        <v>122</v>
      </c>
      <c r="D3" s="42" t="s">
        <v>141</v>
      </c>
      <c r="E3" s="43">
        <v>5512345547</v>
      </c>
      <c r="F3" s="43">
        <v>1111235678</v>
      </c>
      <c r="H3" s="44" t="s">
        <v>143</v>
      </c>
      <c r="I3" s="45">
        <v>8</v>
      </c>
    </row>
    <row r="4" spans="1:9" x14ac:dyDescent="0.25">
      <c r="A4" s="41">
        <v>2</v>
      </c>
      <c r="B4" s="41" t="s">
        <v>110</v>
      </c>
      <c r="C4" s="41" t="s">
        <v>123</v>
      </c>
      <c r="D4" s="42" t="s">
        <v>127</v>
      </c>
      <c r="E4" s="43">
        <v>5512345547</v>
      </c>
      <c r="F4" s="43">
        <v>1111235678</v>
      </c>
      <c r="H4" s="44" t="s">
        <v>144</v>
      </c>
      <c r="I4" s="45" t="str">
        <f>INDEX($A$3:$F$16,$I$3,2)</f>
        <v>Heloísa</v>
      </c>
    </row>
    <row r="5" spans="1:9" x14ac:dyDescent="0.25">
      <c r="A5" s="41">
        <v>3</v>
      </c>
      <c r="B5" s="41" t="s">
        <v>111</v>
      </c>
      <c r="C5" s="41" t="s">
        <v>124</v>
      </c>
      <c r="D5" s="42" t="s">
        <v>128</v>
      </c>
      <c r="E5" s="43">
        <v>5512345547</v>
      </c>
      <c r="F5" s="43">
        <v>1111235678</v>
      </c>
      <c r="H5" s="47" t="s">
        <v>145</v>
      </c>
      <c r="I5" s="45" t="str">
        <f>INDEX($A$3:$F$16,$I$3,3)</f>
        <v>Taquaritinga</v>
      </c>
    </row>
    <row r="6" spans="1:9" x14ac:dyDescent="0.25">
      <c r="A6" s="41">
        <v>4</v>
      </c>
      <c r="B6" s="41" t="s">
        <v>112</v>
      </c>
      <c r="C6" s="41" t="s">
        <v>125</v>
      </c>
      <c r="D6" s="42" t="s">
        <v>129</v>
      </c>
      <c r="E6" s="43">
        <v>5512345547</v>
      </c>
      <c r="F6" s="43">
        <v>1111235678</v>
      </c>
      <c r="H6" s="47" t="s">
        <v>146</v>
      </c>
      <c r="I6" s="45" t="str">
        <f>INDEX($A$3:$F$16,$I$3,4)</f>
        <v>helo@email.com</v>
      </c>
    </row>
    <row r="7" spans="1:9" x14ac:dyDescent="0.25">
      <c r="A7" s="41">
        <v>5</v>
      </c>
      <c r="B7" s="41" t="s">
        <v>113</v>
      </c>
      <c r="C7" s="41" t="s">
        <v>126</v>
      </c>
      <c r="D7" s="42" t="s">
        <v>130</v>
      </c>
      <c r="E7" s="43">
        <v>5512345547</v>
      </c>
      <c r="F7" s="43">
        <v>1111235678</v>
      </c>
      <c r="H7" s="44" t="s">
        <v>147</v>
      </c>
      <c r="I7" s="46">
        <f>INDEX($A$3:$F$16,$I$3,5)</f>
        <v>5512345547</v>
      </c>
    </row>
    <row r="8" spans="1:9" x14ac:dyDescent="0.25">
      <c r="A8" s="41">
        <v>6</v>
      </c>
      <c r="B8" s="41" t="s">
        <v>114</v>
      </c>
      <c r="C8" s="41" t="s">
        <v>122</v>
      </c>
      <c r="D8" s="42" t="s">
        <v>131</v>
      </c>
      <c r="E8" s="43">
        <v>5512345547</v>
      </c>
      <c r="F8" s="43">
        <v>1111235678</v>
      </c>
      <c r="H8" s="44" t="s">
        <v>148</v>
      </c>
      <c r="I8" s="46">
        <f>INDEX($A$3:$F$16,$I$3,6)</f>
        <v>1111235678</v>
      </c>
    </row>
    <row r="9" spans="1:9" x14ac:dyDescent="0.25">
      <c r="A9" s="41">
        <v>7</v>
      </c>
      <c r="B9" s="41" t="s">
        <v>115</v>
      </c>
      <c r="C9" s="41" t="s">
        <v>123</v>
      </c>
      <c r="D9" s="42" t="s">
        <v>132</v>
      </c>
      <c r="E9" s="43">
        <v>5512345547</v>
      </c>
      <c r="F9" s="43">
        <v>1111235678</v>
      </c>
    </row>
    <row r="10" spans="1:9" x14ac:dyDescent="0.25">
      <c r="A10" s="41">
        <v>8</v>
      </c>
      <c r="B10" s="41" t="s">
        <v>116</v>
      </c>
      <c r="C10" s="41" t="s">
        <v>124</v>
      </c>
      <c r="D10" s="42" t="s">
        <v>133</v>
      </c>
      <c r="E10" s="43">
        <v>5512345547</v>
      </c>
      <c r="F10" s="43">
        <v>1111235678</v>
      </c>
    </row>
    <row r="11" spans="1:9" x14ac:dyDescent="0.25">
      <c r="A11" s="41">
        <v>9</v>
      </c>
      <c r="B11" s="41" t="s">
        <v>117</v>
      </c>
      <c r="C11" s="41" t="s">
        <v>125</v>
      </c>
      <c r="D11" s="42" t="s">
        <v>134</v>
      </c>
      <c r="E11" s="43">
        <v>5512345547</v>
      </c>
      <c r="F11" s="43">
        <v>1111235678</v>
      </c>
    </row>
    <row r="12" spans="1:9" x14ac:dyDescent="0.25">
      <c r="A12" s="41">
        <v>10</v>
      </c>
      <c r="B12" s="41" t="s">
        <v>118</v>
      </c>
      <c r="C12" s="41" t="s">
        <v>126</v>
      </c>
      <c r="D12" s="42" t="s">
        <v>135</v>
      </c>
      <c r="E12" s="43">
        <v>5512345547</v>
      </c>
      <c r="F12" s="43">
        <v>1111235678</v>
      </c>
    </row>
    <row r="13" spans="1:9" x14ac:dyDescent="0.25">
      <c r="A13" s="41">
        <v>11</v>
      </c>
      <c r="B13" s="41" t="s">
        <v>119</v>
      </c>
      <c r="C13" s="41" t="s">
        <v>122</v>
      </c>
      <c r="D13" s="42" t="s">
        <v>136</v>
      </c>
      <c r="E13" s="43">
        <v>5512345547</v>
      </c>
      <c r="F13" s="43">
        <v>1111235678</v>
      </c>
    </row>
    <row r="14" spans="1:9" x14ac:dyDescent="0.25">
      <c r="A14" s="41">
        <v>12</v>
      </c>
      <c r="B14" s="41" t="s">
        <v>120</v>
      </c>
      <c r="C14" s="41" t="s">
        <v>123</v>
      </c>
      <c r="D14" s="42" t="s">
        <v>137</v>
      </c>
      <c r="E14" s="43">
        <v>5512345547</v>
      </c>
      <c r="F14" s="43">
        <v>1111235678</v>
      </c>
    </row>
    <row r="15" spans="1:9" x14ac:dyDescent="0.25">
      <c r="A15" s="41">
        <v>13</v>
      </c>
      <c r="B15" s="41" t="s">
        <v>139</v>
      </c>
      <c r="C15" s="41" t="s">
        <v>124</v>
      </c>
      <c r="D15" s="42" t="s">
        <v>138</v>
      </c>
      <c r="E15" s="43">
        <v>5512345547</v>
      </c>
      <c r="F15" s="43">
        <v>1111235678</v>
      </c>
    </row>
    <row r="16" spans="1:9" x14ac:dyDescent="0.25">
      <c r="A16" s="41">
        <v>14</v>
      </c>
      <c r="B16" s="41" t="s">
        <v>121</v>
      </c>
      <c r="C16" s="41" t="s">
        <v>125</v>
      </c>
      <c r="D16" s="42" t="s">
        <v>140</v>
      </c>
      <c r="E16" s="43">
        <v>5512345547</v>
      </c>
      <c r="F16" s="43">
        <v>1111235678</v>
      </c>
    </row>
  </sheetData>
  <mergeCells count="3">
    <mergeCell ref="A1:F1"/>
    <mergeCell ref="H1:I1"/>
    <mergeCell ref="H2:I2"/>
  </mergeCells>
  <hyperlinks>
    <hyperlink ref="D3" r:id="rId1" xr:uid="{2C1E3874-4E64-469F-805C-213A8505CFC2}"/>
    <hyperlink ref="D4" r:id="rId2" xr:uid="{F46EF090-A39A-4F44-AE91-4F8FBF2A8765}"/>
    <hyperlink ref="D5" r:id="rId3" xr:uid="{C9CF055B-EEFA-46F6-9CAC-316970F8EBDB}"/>
    <hyperlink ref="D6" r:id="rId4" xr:uid="{8BB56FA6-36B1-4F66-9E39-0B19A1DBAC5C}"/>
    <hyperlink ref="D7" r:id="rId5" xr:uid="{291F2055-43C4-4722-8B49-582FE312B49E}"/>
    <hyperlink ref="D8" r:id="rId6" xr:uid="{124028CD-3315-4FBB-8073-3AA425C6A57C}"/>
    <hyperlink ref="D9" r:id="rId7" xr:uid="{2EE9AE8D-AA83-4FFD-B335-AB94DBDEFB57}"/>
    <hyperlink ref="D10" r:id="rId8" xr:uid="{27F90B17-5FFC-4E39-92D2-97923B4EA3A9}"/>
    <hyperlink ref="D11" r:id="rId9" xr:uid="{15AE4178-8BC0-407B-B2CF-2C6A56999149}"/>
    <hyperlink ref="D12" r:id="rId10" xr:uid="{6CADBFA6-0EB5-4B41-B0A6-8219E8325258}"/>
    <hyperlink ref="D13" r:id="rId11" xr:uid="{BC49D884-6E63-4096-A3F6-B2B975810764}"/>
    <hyperlink ref="D14" r:id="rId12" xr:uid="{E56D49E8-33B3-4764-9734-EBE2E06BA1FE}"/>
    <hyperlink ref="D15" r:id="rId13" xr:uid="{519D88F7-3F87-42FC-8755-A06DAE09A93B}"/>
    <hyperlink ref="D16" r:id="rId14" xr:uid="{089A10B7-D94C-4160-87A6-6F4262EC8B95}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BD6AD-CC56-4D69-8F36-C017FFD4CDA0}">
  <sheetPr codeName="Planilha13">
    <tabColor rgb="FF00B050"/>
  </sheetPr>
  <dimension ref="A1:H19"/>
  <sheetViews>
    <sheetView workbookViewId="0">
      <selection activeCell="K14" sqref="K14"/>
    </sheetView>
  </sheetViews>
  <sheetFormatPr defaultRowHeight="15" x14ac:dyDescent="0.25"/>
  <cols>
    <col min="1" max="1" width="9.28515625" bestFit="1" customWidth="1"/>
    <col min="2" max="2" width="10" bestFit="1" customWidth="1"/>
    <col min="3" max="3" width="13.5703125" bestFit="1" customWidth="1"/>
    <col min="4" max="4" width="8.85546875" bestFit="1" customWidth="1"/>
    <col min="5" max="5" width="11.42578125" bestFit="1" customWidth="1"/>
    <col min="7" max="7" width="24.42578125" bestFit="1" customWidth="1"/>
  </cols>
  <sheetData>
    <row r="1" spans="1:8" x14ac:dyDescent="0.25">
      <c r="A1" s="4" t="s">
        <v>149</v>
      </c>
      <c r="B1" s="4" t="s">
        <v>150</v>
      </c>
      <c r="C1" s="4" t="s">
        <v>151</v>
      </c>
      <c r="D1" s="4" t="s">
        <v>152</v>
      </c>
    </row>
    <row r="2" spans="1:8" x14ac:dyDescent="0.25">
      <c r="A2" s="49" t="s">
        <v>153</v>
      </c>
      <c r="B2" s="114" t="s">
        <v>155</v>
      </c>
      <c r="C2" s="114">
        <v>1</v>
      </c>
      <c r="D2" s="115"/>
      <c r="G2" s="53" t="s">
        <v>173</v>
      </c>
      <c r="H2" s="2">
        <f>COUNTA(A4:A19)</f>
        <v>16</v>
      </c>
    </row>
    <row r="3" spans="1:8" x14ac:dyDescent="0.25">
      <c r="A3" s="49" t="s">
        <v>154</v>
      </c>
      <c r="B3" s="114"/>
      <c r="C3" s="114"/>
      <c r="D3" s="115"/>
      <c r="G3" s="53" t="s">
        <v>174</v>
      </c>
      <c r="H3" s="2">
        <f>COUNTA(B4:B19)</f>
        <v>6</v>
      </c>
    </row>
    <row r="4" spans="1:8" x14ac:dyDescent="0.25">
      <c r="A4" s="50" t="s">
        <v>156</v>
      </c>
      <c r="B4" s="116">
        <v>1</v>
      </c>
      <c r="C4" s="116">
        <v>2</v>
      </c>
      <c r="D4" s="112" t="s">
        <v>171</v>
      </c>
      <c r="E4" s="113" t="s">
        <v>172</v>
      </c>
      <c r="G4" s="53" t="s">
        <v>175</v>
      </c>
      <c r="H4" s="2">
        <f>COUNTA(D4:D19)</f>
        <v>10</v>
      </c>
    </row>
    <row r="5" spans="1:8" x14ac:dyDescent="0.25">
      <c r="A5" s="50" t="s">
        <v>157</v>
      </c>
      <c r="B5" s="116"/>
      <c r="C5" s="116"/>
      <c r="D5" s="112"/>
      <c r="E5" s="113"/>
      <c r="G5" s="53" t="s">
        <v>176</v>
      </c>
      <c r="H5" s="2">
        <f>COUNTA(E4:E19)</f>
        <v>6</v>
      </c>
    </row>
    <row r="6" spans="1:8" x14ac:dyDescent="0.25">
      <c r="A6" s="51" t="s">
        <v>158</v>
      </c>
      <c r="B6" s="51"/>
      <c r="C6" s="51"/>
      <c r="D6" s="52" t="s">
        <v>171</v>
      </c>
      <c r="E6" s="113" t="s">
        <v>172</v>
      </c>
      <c r="G6" s="53" t="s">
        <v>177</v>
      </c>
      <c r="H6" s="2">
        <f>COUNTIF(C4:C19,"&gt;=3")</f>
        <v>4</v>
      </c>
    </row>
    <row r="7" spans="1:8" x14ac:dyDescent="0.25">
      <c r="A7" s="51" t="s">
        <v>159</v>
      </c>
      <c r="B7" s="51"/>
      <c r="C7" s="51"/>
      <c r="D7" s="52" t="s">
        <v>171</v>
      </c>
      <c r="E7" s="113"/>
      <c r="G7" s="53" t="s">
        <v>178</v>
      </c>
      <c r="H7" s="2">
        <f>COUNTIFS(C4:C19,"&gt;=1",C4:C19,"&lt;=3")</f>
        <v>6</v>
      </c>
    </row>
    <row r="8" spans="1:8" x14ac:dyDescent="0.25">
      <c r="A8" s="50" t="s">
        <v>160</v>
      </c>
      <c r="B8" s="116">
        <v>2</v>
      </c>
      <c r="C8" s="51">
        <v>3</v>
      </c>
      <c r="D8" s="112" t="s">
        <v>171</v>
      </c>
      <c r="E8" s="113" t="s">
        <v>172</v>
      </c>
    </row>
    <row r="9" spans="1:8" x14ac:dyDescent="0.25">
      <c r="A9" s="50" t="s">
        <v>162</v>
      </c>
      <c r="B9" s="116"/>
      <c r="C9" s="51">
        <v>5</v>
      </c>
      <c r="D9" s="112"/>
      <c r="E9" s="113"/>
    </row>
    <row r="10" spans="1:8" x14ac:dyDescent="0.25">
      <c r="A10" s="50" t="s">
        <v>161</v>
      </c>
      <c r="B10" s="116">
        <v>1</v>
      </c>
      <c r="C10" s="116">
        <v>1</v>
      </c>
      <c r="D10" s="112" t="s">
        <v>171</v>
      </c>
      <c r="E10" s="113" t="s">
        <v>172</v>
      </c>
    </row>
    <row r="11" spans="1:8" x14ac:dyDescent="0.25">
      <c r="A11" s="50" t="s">
        <v>116</v>
      </c>
      <c r="B11" s="116"/>
      <c r="C11" s="116"/>
      <c r="D11" s="112"/>
      <c r="E11" s="113"/>
    </row>
    <row r="12" spans="1:8" x14ac:dyDescent="0.25">
      <c r="A12" s="50" t="s">
        <v>163</v>
      </c>
      <c r="B12" s="116">
        <v>2</v>
      </c>
      <c r="C12" s="51">
        <v>4</v>
      </c>
      <c r="D12" s="112" t="s">
        <v>171</v>
      </c>
      <c r="E12" s="48"/>
    </row>
    <row r="13" spans="1:8" x14ac:dyDescent="0.25">
      <c r="A13" s="50" t="s">
        <v>164</v>
      </c>
      <c r="B13" s="116"/>
      <c r="C13" s="51">
        <v>2</v>
      </c>
      <c r="D13" s="112"/>
      <c r="E13" s="48"/>
    </row>
    <row r="14" spans="1:8" x14ac:dyDescent="0.25">
      <c r="A14" s="51" t="s">
        <v>165</v>
      </c>
      <c r="B14" s="51"/>
      <c r="C14" s="51"/>
      <c r="D14" s="52" t="s">
        <v>171</v>
      </c>
      <c r="E14" s="48"/>
    </row>
    <row r="15" spans="1:8" x14ac:dyDescent="0.25">
      <c r="A15" s="51" t="s">
        <v>166</v>
      </c>
      <c r="B15" s="51"/>
      <c r="C15" s="51"/>
      <c r="D15" s="52" t="s">
        <v>171</v>
      </c>
      <c r="E15" s="48" t="s">
        <v>172</v>
      </c>
    </row>
    <row r="16" spans="1:8" x14ac:dyDescent="0.25">
      <c r="A16" s="50" t="s">
        <v>167</v>
      </c>
      <c r="B16" s="116">
        <v>2</v>
      </c>
      <c r="C16" s="51">
        <v>1</v>
      </c>
      <c r="D16" s="112" t="s">
        <v>171</v>
      </c>
      <c r="E16" s="113" t="s">
        <v>172</v>
      </c>
    </row>
    <row r="17" spans="1:5" x14ac:dyDescent="0.25">
      <c r="A17" s="50" t="s">
        <v>168</v>
      </c>
      <c r="B17" s="116"/>
      <c r="C17" s="51">
        <v>2</v>
      </c>
      <c r="D17" s="112"/>
      <c r="E17" s="113"/>
    </row>
    <row r="18" spans="1:5" x14ac:dyDescent="0.25">
      <c r="A18" s="50" t="s">
        <v>169</v>
      </c>
      <c r="B18" s="116">
        <v>1</v>
      </c>
      <c r="C18" s="116">
        <v>5</v>
      </c>
      <c r="D18" s="112" t="s">
        <v>171</v>
      </c>
      <c r="E18" s="48"/>
    </row>
    <row r="19" spans="1:5" x14ac:dyDescent="0.25">
      <c r="A19" s="50" t="s">
        <v>170</v>
      </c>
      <c r="B19" s="116"/>
      <c r="C19" s="116"/>
      <c r="D19" s="112"/>
    </row>
  </sheetData>
  <mergeCells count="23">
    <mergeCell ref="B2:B3"/>
    <mergeCell ref="C2:C3"/>
    <mergeCell ref="D2:D3"/>
    <mergeCell ref="B18:B19"/>
    <mergeCell ref="B16:B17"/>
    <mergeCell ref="B12:B13"/>
    <mergeCell ref="B10:B11"/>
    <mergeCell ref="B8:B9"/>
    <mergeCell ref="B4:B5"/>
    <mergeCell ref="C4:C5"/>
    <mergeCell ref="C10:C11"/>
    <mergeCell ref="C18:C19"/>
    <mergeCell ref="D4:D5"/>
    <mergeCell ref="D8:D9"/>
    <mergeCell ref="D10:D11"/>
    <mergeCell ref="D12:D13"/>
    <mergeCell ref="D16:D17"/>
    <mergeCell ref="D18:D19"/>
    <mergeCell ref="E4:E5"/>
    <mergeCell ref="E6:E7"/>
    <mergeCell ref="E8:E9"/>
    <mergeCell ref="E10:E11"/>
    <mergeCell ref="E16:E17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54904-5BA1-421A-ABFF-F2CFE70A8102}">
  <sheetPr codeName="Planilha14">
    <tabColor rgb="FF00B050"/>
  </sheetPr>
  <dimension ref="A1:H27"/>
  <sheetViews>
    <sheetView zoomScaleNormal="100" workbookViewId="0">
      <selection activeCell="I15" sqref="I15"/>
    </sheetView>
  </sheetViews>
  <sheetFormatPr defaultRowHeight="15" x14ac:dyDescent="0.25"/>
  <cols>
    <col min="1" max="1" width="13.5703125" bestFit="1" customWidth="1"/>
    <col min="2" max="2" width="17.85546875" bestFit="1" customWidth="1"/>
    <col min="3" max="3" width="23" bestFit="1" customWidth="1"/>
    <col min="4" max="4" width="19.5703125" bestFit="1" customWidth="1"/>
    <col min="5" max="5" width="18.5703125" bestFit="1" customWidth="1"/>
    <col min="6" max="6" width="16.28515625" bestFit="1" customWidth="1"/>
    <col min="7" max="7" width="11.85546875" bestFit="1" customWidth="1"/>
  </cols>
  <sheetData>
    <row r="1" spans="1:8" ht="18" x14ac:dyDescent="0.25">
      <c r="A1" s="119" t="s">
        <v>66</v>
      </c>
      <c r="B1" s="119"/>
      <c r="C1" s="119"/>
      <c r="D1" s="119"/>
      <c r="E1" s="119"/>
      <c r="F1" s="119"/>
      <c r="G1" s="119"/>
    </row>
    <row r="2" spans="1:8" x14ac:dyDescent="0.25">
      <c r="A2" s="55" t="s">
        <v>179</v>
      </c>
      <c r="B2" s="55" t="s">
        <v>144</v>
      </c>
      <c r="C2" s="55" t="s">
        <v>180</v>
      </c>
      <c r="D2" s="55" t="s">
        <v>181</v>
      </c>
      <c r="E2" s="55" t="s">
        <v>182</v>
      </c>
      <c r="F2" s="55" t="s">
        <v>183</v>
      </c>
      <c r="G2" s="55" t="s">
        <v>184</v>
      </c>
      <c r="H2" s="54"/>
    </row>
    <row r="3" spans="1:8" x14ac:dyDescent="0.25">
      <c r="A3" s="60">
        <v>301</v>
      </c>
      <c r="B3" s="56" t="s">
        <v>164</v>
      </c>
      <c r="C3" s="57">
        <v>1100</v>
      </c>
      <c r="D3" s="58">
        <v>0.01</v>
      </c>
      <c r="E3" s="56">
        <v>10</v>
      </c>
      <c r="F3" s="57">
        <v>113.05</v>
      </c>
      <c r="G3" s="56"/>
      <c r="H3" s="54"/>
    </row>
    <row r="4" spans="1:8" x14ac:dyDescent="0.25">
      <c r="A4" s="60">
        <v>302</v>
      </c>
      <c r="B4" s="56" t="s">
        <v>185</v>
      </c>
      <c r="C4" s="57">
        <v>1700</v>
      </c>
      <c r="D4" s="58">
        <v>0.05</v>
      </c>
      <c r="E4" s="56">
        <v>20</v>
      </c>
      <c r="F4" s="57">
        <v>136.43</v>
      </c>
      <c r="G4" s="56"/>
      <c r="H4" s="54"/>
    </row>
    <row r="5" spans="1:8" x14ac:dyDescent="0.25">
      <c r="A5" s="60">
        <v>303</v>
      </c>
      <c r="B5" s="56" t="s">
        <v>186</v>
      </c>
      <c r="C5" s="57">
        <v>2300</v>
      </c>
      <c r="D5" s="58">
        <v>0.3</v>
      </c>
      <c r="E5" s="56">
        <v>15</v>
      </c>
      <c r="F5" s="57">
        <v>302.39</v>
      </c>
      <c r="G5" s="56"/>
      <c r="H5" s="54"/>
    </row>
    <row r="6" spans="1:8" x14ac:dyDescent="0.25">
      <c r="A6" s="60">
        <v>304</v>
      </c>
      <c r="B6" s="56" t="s">
        <v>187</v>
      </c>
      <c r="C6" s="57">
        <v>3000</v>
      </c>
      <c r="D6" s="58">
        <v>0.08</v>
      </c>
      <c r="E6" s="56">
        <v>18</v>
      </c>
      <c r="F6" s="57">
        <v>320.11</v>
      </c>
      <c r="G6" s="56"/>
      <c r="H6" s="54"/>
    </row>
    <row r="7" spans="1:8" x14ac:dyDescent="0.25">
      <c r="A7" s="60">
        <v>305</v>
      </c>
      <c r="B7" s="56" t="s">
        <v>188</v>
      </c>
      <c r="C7" s="57">
        <v>4100</v>
      </c>
      <c r="D7" s="58">
        <v>7.0000000000000007E-2</v>
      </c>
      <c r="E7" s="56">
        <v>5</v>
      </c>
      <c r="F7" s="57">
        <v>999.95</v>
      </c>
      <c r="G7" s="56"/>
      <c r="H7" s="54"/>
    </row>
    <row r="8" spans="1:8" x14ac:dyDescent="0.25">
      <c r="A8" s="60">
        <v>306</v>
      </c>
      <c r="B8" s="56" t="s">
        <v>189</v>
      </c>
      <c r="C8" s="57">
        <v>6000</v>
      </c>
      <c r="D8" s="58">
        <v>0.06</v>
      </c>
      <c r="E8" s="56">
        <v>12</v>
      </c>
      <c r="F8" s="57">
        <v>715.66</v>
      </c>
      <c r="G8" s="56"/>
      <c r="H8" s="54"/>
    </row>
    <row r="9" spans="1:8" x14ac:dyDescent="0.25">
      <c r="A9" s="60">
        <v>307</v>
      </c>
      <c r="B9" s="56" t="s">
        <v>190</v>
      </c>
      <c r="C9" s="57">
        <v>8000</v>
      </c>
      <c r="D9" s="58">
        <v>0.03</v>
      </c>
      <c r="E9" s="56">
        <v>10</v>
      </c>
      <c r="F9" s="57">
        <v>987.84</v>
      </c>
      <c r="G9" s="56"/>
      <c r="H9" s="54"/>
    </row>
    <row r="10" spans="1:8" x14ac:dyDescent="0.25">
      <c r="A10" s="54"/>
      <c r="B10" s="54"/>
      <c r="C10" s="54"/>
      <c r="D10" s="54"/>
      <c r="E10" s="54"/>
      <c r="F10" s="54"/>
      <c r="G10" s="54"/>
      <c r="H10" s="54"/>
    </row>
    <row r="11" spans="1:8" x14ac:dyDescent="0.25">
      <c r="A11" s="54"/>
      <c r="B11" s="54"/>
      <c r="C11" s="54"/>
      <c r="D11" s="54"/>
      <c r="E11" s="54"/>
      <c r="F11" s="54"/>
      <c r="G11" s="54"/>
      <c r="H11" s="54"/>
    </row>
    <row r="12" spans="1:8" x14ac:dyDescent="0.25">
      <c r="A12" s="55" t="s">
        <v>195</v>
      </c>
      <c r="B12" s="55" t="s">
        <v>191</v>
      </c>
      <c r="C12" s="55" t="s">
        <v>192</v>
      </c>
      <c r="D12" s="55" t="s">
        <v>181</v>
      </c>
      <c r="E12" s="55" t="s">
        <v>193</v>
      </c>
      <c r="F12" s="120" t="s">
        <v>194</v>
      </c>
      <c r="G12" s="121"/>
      <c r="H12" s="54"/>
    </row>
    <row r="13" spans="1:8" x14ac:dyDescent="0.25">
      <c r="A13" s="60" t="s">
        <v>164</v>
      </c>
      <c r="B13" s="59">
        <f>ABS(FV(D3,E3,C3,F3))</f>
        <v>11633.311326510257</v>
      </c>
      <c r="C13" s="56">
        <v>10</v>
      </c>
      <c r="D13" s="58">
        <v>0.01</v>
      </c>
      <c r="E13" s="57">
        <v>113.05</v>
      </c>
      <c r="F13" s="117">
        <f>ABS(PV(D13,C13,E13))</f>
        <v>1070.730977195826</v>
      </c>
      <c r="G13" s="118"/>
      <c r="H13" s="54"/>
    </row>
    <row r="14" spans="1:8" x14ac:dyDescent="0.25">
      <c r="A14" s="60" t="s">
        <v>185</v>
      </c>
      <c r="B14" s="59">
        <f t="shared" ref="B14:B19" si="0">ABS(FV(D4,E4,C4,F4))</f>
        <v>56574.11138082316</v>
      </c>
      <c r="C14" s="56">
        <v>20</v>
      </c>
      <c r="D14" s="58">
        <v>0.05</v>
      </c>
      <c r="E14" s="57">
        <v>136.43</v>
      </c>
      <c r="F14" s="117">
        <f t="shared" ref="F14:F19" si="1">ABS(PV(D14,C14,E14))</f>
        <v>1700.2193570327302</v>
      </c>
      <c r="G14" s="118"/>
      <c r="H14" s="54"/>
    </row>
    <row r="15" spans="1:8" x14ac:dyDescent="0.25">
      <c r="A15" s="60" t="s">
        <v>186</v>
      </c>
      <c r="B15" s="59">
        <f t="shared" si="0"/>
        <v>400236.6152965604</v>
      </c>
      <c r="C15" s="56">
        <v>15</v>
      </c>
      <c r="D15" s="58">
        <v>0.3</v>
      </c>
      <c r="E15" s="57">
        <v>302.39</v>
      </c>
      <c r="F15" s="117">
        <f t="shared" si="1"/>
        <v>988.27439195360887</v>
      </c>
      <c r="G15" s="118"/>
      <c r="H15" s="54"/>
    </row>
    <row r="16" spans="1:8" x14ac:dyDescent="0.25">
      <c r="A16" s="60" t="s">
        <v>187</v>
      </c>
      <c r="B16" s="59">
        <f t="shared" si="0"/>
        <v>113629.89702131909</v>
      </c>
      <c r="C16" s="56">
        <v>18</v>
      </c>
      <c r="D16" s="58">
        <v>0.08</v>
      </c>
      <c r="E16" s="57">
        <v>320.11</v>
      </c>
      <c r="F16" s="117">
        <f t="shared" si="1"/>
        <v>3000.0347911205995</v>
      </c>
      <c r="G16" s="118"/>
      <c r="H16" s="54"/>
    </row>
    <row r="17" spans="1:8" x14ac:dyDescent="0.25">
      <c r="A17" s="60" t="s">
        <v>188</v>
      </c>
      <c r="B17" s="59">
        <f t="shared" si="0"/>
        <v>24980.511544113473</v>
      </c>
      <c r="C17" s="56">
        <v>5</v>
      </c>
      <c r="D17" s="58">
        <v>7.0000000000000007E-2</v>
      </c>
      <c r="E17" s="57">
        <v>999.95</v>
      </c>
      <c r="F17" s="117">
        <f t="shared" si="1"/>
        <v>4099.9924260757971</v>
      </c>
      <c r="G17" s="118"/>
      <c r="H17" s="54"/>
    </row>
    <row r="18" spans="1:8" x14ac:dyDescent="0.25">
      <c r="A18" s="60" t="s">
        <v>189</v>
      </c>
      <c r="B18" s="59">
        <f t="shared" si="0"/>
        <v>102659.69571058902</v>
      </c>
      <c r="C18" s="56">
        <v>12</v>
      </c>
      <c r="D18" s="58">
        <v>0.06</v>
      </c>
      <c r="E18" s="57">
        <v>715.66</v>
      </c>
      <c r="F18" s="117">
        <f t="shared" si="1"/>
        <v>5999.9817543747313</v>
      </c>
      <c r="G18" s="118"/>
      <c r="H18" s="54"/>
    </row>
    <row r="19" spans="1:8" x14ac:dyDescent="0.25">
      <c r="A19" s="60" t="s">
        <v>190</v>
      </c>
      <c r="B19" s="59">
        <f t="shared" si="0"/>
        <v>93038.608847937125</v>
      </c>
      <c r="C19" s="56">
        <v>10</v>
      </c>
      <c r="D19" s="58">
        <v>0.03</v>
      </c>
      <c r="E19" s="57">
        <v>987.84</v>
      </c>
      <c r="F19" s="117">
        <f t="shared" si="1"/>
        <v>8426.4755702806342</v>
      </c>
      <c r="G19" s="118"/>
      <c r="H19" s="54"/>
    </row>
    <row r="20" spans="1:8" x14ac:dyDescent="0.25">
      <c r="A20" s="54"/>
      <c r="B20" s="54"/>
      <c r="C20" s="54"/>
      <c r="D20" s="54"/>
      <c r="E20" s="54"/>
      <c r="F20" s="54"/>
      <c r="G20" s="54"/>
      <c r="H20" s="54"/>
    </row>
    <row r="21" spans="1:8" x14ac:dyDescent="0.25">
      <c r="A21" s="54"/>
      <c r="B21" s="54"/>
      <c r="C21" s="54"/>
      <c r="D21" s="54"/>
      <c r="E21" s="54"/>
      <c r="F21" s="54"/>
      <c r="G21" s="54"/>
      <c r="H21" s="54"/>
    </row>
    <row r="22" spans="1:8" x14ac:dyDescent="0.25">
      <c r="A22" s="54"/>
      <c r="B22" s="54"/>
      <c r="C22" s="54"/>
      <c r="D22" s="54"/>
      <c r="E22" s="54"/>
      <c r="F22" s="54"/>
      <c r="G22" s="54"/>
      <c r="H22" s="54"/>
    </row>
    <row r="23" spans="1:8" x14ac:dyDescent="0.25">
      <c r="A23" s="54"/>
      <c r="B23" s="54"/>
      <c r="C23" s="54"/>
      <c r="D23" s="54"/>
      <c r="E23" s="54"/>
      <c r="F23" s="54"/>
      <c r="G23" s="54"/>
      <c r="H23" s="54"/>
    </row>
    <row r="24" spans="1:8" x14ac:dyDescent="0.25">
      <c r="A24" s="54"/>
      <c r="B24" s="54"/>
      <c r="C24" s="54"/>
      <c r="D24" s="54"/>
      <c r="E24" s="54"/>
      <c r="F24" s="54"/>
      <c r="G24" s="54"/>
      <c r="H24" s="54"/>
    </row>
    <row r="25" spans="1:8" x14ac:dyDescent="0.25">
      <c r="A25" s="54"/>
      <c r="B25" s="54"/>
      <c r="C25" s="54"/>
      <c r="D25" s="54"/>
      <c r="E25" s="54"/>
      <c r="F25" s="54"/>
      <c r="G25" s="54"/>
      <c r="H25" s="54"/>
    </row>
    <row r="26" spans="1:8" x14ac:dyDescent="0.25">
      <c r="A26" s="54"/>
      <c r="B26" s="54"/>
      <c r="C26" s="54"/>
      <c r="D26" s="54"/>
      <c r="E26" s="54"/>
      <c r="F26" s="54"/>
      <c r="G26" s="54"/>
      <c r="H26" s="54"/>
    </row>
    <row r="27" spans="1:8" x14ac:dyDescent="0.25">
      <c r="A27" s="54"/>
      <c r="B27" s="54"/>
      <c r="C27" s="54"/>
      <c r="D27" s="54"/>
      <c r="E27" s="54"/>
      <c r="F27" s="54"/>
      <c r="G27" s="54"/>
      <c r="H27" s="54"/>
    </row>
  </sheetData>
  <mergeCells count="9">
    <mergeCell ref="F17:G17"/>
    <mergeCell ref="F18:G18"/>
    <mergeCell ref="F19:G19"/>
    <mergeCell ref="A1:G1"/>
    <mergeCell ref="F12:G12"/>
    <mergeCell ref="F13:G13"/>
    <mergeCell ref="F14:G14"/>
    <mergeCell ref="F15:G15"/>
    <mergeCell ref="F16:G1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5A71A-4E85-4DBA-8E57-D3FAD90EA75F}">
  <sheetPr codeName="Planilha15">
    <tabColor rgb="FF00B050"/>
  </sheetPr>
  <dimension ref="A2:F10"/>
  <sheetViews>
    <sheetView workbookViewId="0">
      <selection activeCell="D13" sqref="D13"/>
    </sheetView>
  </sheetViews>
  <sheetFormatPr defaultRowHeight="15" x14ac:dyDescent="0.25"/>
  <cols>
    <col min="2" max="2" width="17.85546875" bestFit="1" customWidth="1"/>
    <col min="3" max="3" width="12.7109375" bestFit="1" customWidth="1"/>
    <col min="4" max="4" width="19.5703125" bestFit="1" customWidth="1"/>
    <col min="5" max="5" width="18.5703125" bestFit="1" customWidth="1"/>
    <col min="6" max="6" width="16.28515625" bestFit="1" customWidth="1"/>
  </cols>
  <sheetData>
    <row r="2" spans="1:6" x14ac:dyDescent="0.25">
      <c r="A2" s="55" t="s">
        <v>195</v>
      </c>
      <c r="B2" s="55" t="s">
        <v>191</v>
      </c>
      <c r="C2" s="55" t="s">
        <v>192</v>
      </c>
      <c r="D2" s="55" t="s">
        <v>181</v>
      </c>
      <c r="E2" s="55" t="s">
        <v>193</v>
      </c>
      <c r="F2" s="55" t="s">
        <v>194</v>
      </c>
    </row>
    <row r="3" spans="1:6" x14ac:dyDescent="0.25">
      <c r="A3" s="60" t="s">
        <v>164</v>
      </c>
      <c r="B3" s="59">
        <v>1156.25</v>
      </c>
      <c r="C3" s="61">
        <v>10</v>
      </c>
      <c r="D3" s="58">
        <v>0.01</v>
      </c>
      <c r="E3" s="62">
        <f>ABS(PMT(D3,C3,F3))</f>
        <v>113.0500000000002</v>
      </c>
      <c r="F3" s="59">
        <v>1070.730977195826</v>
      </c>
    </row>
    <row r="4" spans="1:6" x14ac:dyDescent="0.25">
      <c r="A4" s="60" t="s">
        <v>185</v>
      </c>
      <c r="B4" s="59">
        <v>4510.6099999999997</v>
      </c>
      <c r="C4" s="61">
        <v>20</v>
      </c>
      <c r="D4" s="58">
        <v>0.05</v>
      </c>
      <c r="E4" s="62">
        <f t="shared" ref="E4:E9" si="0">ABS(PMT(D4,C4,F4))</f>
        <v>136.42999999999998</v>
      </c>
      <c r="F4" s="59">
        <v>1700.2193570327302</v>
      </c>
    </row>
    <row r="5" spans="1:6" x14ac:dyDescent="0.25">
      <c r="A5" s="60" t="s">
        <v>186</v>
      </c>
      <c r="B5" s="59">
        <v>9607.67</v>
      </c>
      <c r="C5" s="61">
        <v>15</v>
      </c>
      <c r="D5" s="58">
        <v>0.3</v>
      </c>
      <c r="E5" s="62">
        <f t="shared" si="0"/>
        <v>302.39000000000004</v>
      </c>
      <c r="F5" s="59">
        <v>988.27439195360887</v>
      </c>
    </row>
    <row r="6" spans="1:6" x14ac:dyDescent="0.25">
      <c r="A6" s="60" t="s">
        <v>187</v>
      </c>
      <c r="B6" s="59">
        <v>11988.06</v>
      </c>
      <c r="C6" s="61">
        <v>18</v>
      </c>
      <c r="D6" s="58">
        <v>0.08</v>
      </c>
      <c r="E6" s="62">
        <f t="shared" si="0"/>
        <v>320.11000000000013</v>
      </c>
      <c r="F6" s="59">
        <v>3000.0347911205995</v>
      </c>
    </row>
    <row r="7" spans="1:6" x14ac:dyDescent="0.25">
      <c r="A7" s="60" t="s">
        <v>188</v>
      </c>
      <c r="B7" s="59">
        <v>750.45</v>
      </c>
      <c r="C7" s="61">
        <v>5</v>
      </c>
      <c r="D7" s="58">
        <v>7.0000000000000007E-2</v>
      </c>
      <c r="E7" s="62">
        <f t="shared" si="0"/>
        <v>999.95000000000027</v>
      </c>
      <c r="F7" s="59">
        <v>4099.9924260757971</v>
      </c>
    </row>
    <row r="8" spans="1:6" x14ac:dyDescent="0.25">
      <c r="A8" s="60" t="s">
        <v>189</v>
      </c>
      <c r="B8" s="59">
        <v>12073.18</v>
      </c>
      <c r="C8" s="61">
        <v>12</v>
      </c>
      <c r="D8" s="58">
        <v>0.06</v>
      </c>
      <c r="E8" s="62">
        <f t="shared" si="0"/>
        <v>715.66000000000065</v>
      </c>
      <c r="F8" s="59">
        <v>5999.9817543747313</v>
      </c>
    </row>
    <row r="9" spans="1:6" x14ac:dyDescent="0.25">
      <c r="A9" s="60" t="s">
        <v>190</v>
      </c>
      <c r="B9" s="59">
        <v>10751.33</v>
      </c>
      <c r="C9" s="61">
        <v>10</v>
      </c>
      <c r="D9" s="58">
        <v>0.03</v>
      </c>
      <c r="E9" s="62">
        <f t="shared" si="0"/>
        <v>987.83999999999969</v>
      </c>
      <c r="F9" s="59">
        <v>8426.4755702806342</v>
      </c>
    </row>
    <row r="10" spans="1:6" x14ac:dyDescent="0.25">
      <c r="A10" s="54"/>
      <c r="B10" s="54"/>
      <c r="C10" s="54"/>
      <c r="D10" s="54"/>
      <c r="E10" s="54"/>
      <c r="F10" s="5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8744-890F-4494-B1E9-5D03B44ED8D3}">
  <sheetPr codeName="Planilha16">
    <tabColor rgb="FF00B050"/>
  </sheetPr>
  <dimension ref="A3:G17"/>
  <sheetViews>
    <sheetView zoomScale="85" zoomScaleNormal="85" workbookViewId="0">
      <selection activeCell="A3" sqref="A3:G11"/>
    </sheetView>
  </sheetViews>
  <sheetFormatPr defaultRowHeight="15" x14ac:dyDescent="0.25"/>
  <cols>
    <col min="1" max="1" width="4.28515625" customWidth="1"/>
    <col min="2" max="2" width="12.140625" bestFit="1" customWidth="1"/>
    <col min="3" max="4" width="12.28515625" bestFit="1" customWidth="1"/>
    <col min="5" max="5" width="14.5703125" bestFit="1" customWidth="1"/>
    <col min="6" max="7" width="12.28515625" bestFit="1" customWidth="1"/>
  </cols>
  <sheetData>
    <row r="3" spans="1:7" ht="24" customHeight="1" x14ac:dyDescent="0.25">
      <c r="A3" s="124" t="s">
        <v>196</v>
      </c>
      <c r="B3" s="124"/>
      <c r="C3" s="124"/>
      <c r="D3" s="124"/>
      <c r="E3" s="124"/>
      <c r="F3" s="124"/>
      <c r="G3" s="124"/>
    </row>
    <row r="4" spans="1:7" x14ac:dyDescent="0.25">
      <c r="A4" s="63"/>
      <c r="B4" s="63" t="s">
        <v>197</v>
      </c>
      <c r="C4" s="63" t="s">
        <v>198</v>
      </c>
      <c r="D4" s="63" t="s">
        <v>201</v>
      </c>
      <c r="E4" s="63" t="s">
        <v>199</v>
      </c>
      <c r="F4" s="63" t="s">
        <v>200</v>
      </c>
      <c r="G4" s="63" t="s">
        <v>205</v>
      </c>
    </row>
    <row r="5" spans="1:7" x14ac:dyDescent="0.25">
      <c r="A5" s="64">
        <v>1</v>
      </c>
      <c r="B5" s="64" t="s">
        <v>190</v>
      </c>
      <c r="C5" s="65">
        <v>1200</v>
      </c>
      <c r="D5" s="65">
        <v>500</v>
      </c>
      <c r="E5" s="65">
        <v>20</v>
      </c>
      <c r="F5" s="65">
        <v>1720</v>
      </c>
      <c r="G5" s="65">
        <f>SUM(F5,$E$14)</f>
        <v>2040</v>
      </c>
    </row>
    <row r="6" spans="1:7" x14ac:dyDescent="0.25">
      <c r="A6" s="64">
        <v>2</v>
      </c>
      <c r="B6" s="64" t="s">
        <v>164</v>
      </c>
      <c r="C6" s="65">
        <v>1400</v>
      </c>
      <c r="D6" s="65">
        <v>600</v>
      </c>
      <c r="E6" s="65">
        <v>24</v>
      </c>
      <c r="F6" s="65">
        <v>2024</v>
      </c>
      <c r="G6" s="65">
        <f t="shared" ref="G6:G11" si="0">SUM(F6,$E$14)</f>
        <v>2344</v>
      </c>
    </row>
    <row r="7" spans="1:7" x14ac:dyDescent="0.25">
      <c r="A7" s="64">
        <v>3</v>
      </c>
      <c r="B7" s="64" t="s">
        <v>202</v>
      </c>
      <c r="C7" s="65">
        <v>1600</v>
      </c>
      <c r="D7" s="65">
        <v>700</v>
      </c>
      <c r="E7" s="65">
        <v>28</v>
      </c>
      <c r="F7" s="65">
        <v>2328</v>
      </c>
      <c r="G7" s="65">
        <f t="shared" si="0"/>
        <v>2648</v>
      </c>
    </row>
    <row r="8" spans="1:7" x14ac:dyDescent="0.25">
      <c r="A8" s="64">
        <v>4</v>
      </c>
      <c r="B8" s="64" t="s">
        <v>114</v>
      </c>
      <c r="C8" s="65">
        <v>1800</v>
      </c>
      <c r="D8" s="65">
        <v>800</v>
      </c>
      <c r="E8" s="65">
        <v>32</v>
      </c>
      <c r="F8" s="65">
        <v>2632</v>
      </c>
      <c r="G8" s="65">
        <f t="shared" si="0"/>
        <v>2952</v>
      </c>
    </row>
    <row r="9" spans="1:7" x14ac:dyDescent="0.25">
      <c r="A9" s="64">
        <v>5</v>
      </c>
      <c r="B9" s="64" t="s">
        <v>187</v>
      </c>
      <c r="C9" s="65">
        <v>2000</v>
      </c>
      <c r="D9" s="65">
        <v>900</v>
      </c>
      <c r="E9" s="65">
        <v>36</v>
      </c>
      <c r="F9" s="65">
        <v>2936</v>
      </c>
      <c r="G9" s="65">
        <f t="shared" si="0"/>
        <v>3256</v>
      </c>
    </row>
    <row r="10" spans="1:7" x14ac:dyDescent="0.25">
      <c r="A10" s="64">
        <v>6</v>
      </c>
      <c r="B10" s="64" t="s">
        <v>203</v>
      </c>
      <c r="C10" s="65">
        <v>2200</v>
      </c>
      <c r="D10" s="65">
        <v>1000</v>
      </c>
      <c r="E10" s="65">
        <v>40</v>
      </c>
      <c r="F10" s="65">
        <v>3240</v>
      </c>
      <c r="G10" s="65">
        <f t="shared" si="0"/>
        <v>3560</v>
      </c>
    </row>
    <row r="11" spans="1:7" x14ac:dyDescent="0.25">
      <c r="A11" s="64">
        <v>7</v>
      </c>
      <c r="B11" s="64" t="s">
        <v>204</v>
      </c>
      <c r="C11" s="65">
        <v>2400</v>
      </c>
      <c r="D11" s="65">
        <v>1100</v>
      </c>
      <c r="E11" s="65">
        <v>44</v>
      </c>
      <c r="F11" s="65">
        <v>3344</v>
      </c>
      <c r="G11" s="65">
        <f t="shared" si="0"/>
        <v>3664</v>
      </c>
    </row>
    <row r="13" spans="1:7" x14ac:dyDescent="0.25">
      <c r="A13" s="125" t="s">
        <v>12</v>
      </c>
      <c r="B13" s="125"/>
      <c r="C13" s="125"/>
      <c r="D13" s="125"/>
      <c r="E13" s="125" t="s">
        <v>206</v>
      </c>
      <c r="F13" s="125"/>
      <c r="G13" s="125"/>
    </row>
    <row r="14" spans="1:7" x14ac:dyDescent="0.25">
      <c r="A14" s="126">
        <v>0.04</v>
      </c>
      <c r="B14" s="122"/>
      <c r="C14" s="122"/>
      <c r="D14" s="122"/>
      <c r="E14" s="122">
        <v>320</v>
      </c>
      <c r="F14" s="122"/>
      <c r="G14" s="122"/>
    </row>
    <row r="16" spans="1:7" x14ac:dyDescent="0.25">
      <c r="A16" s="125" t="s">
        <v>197</v>
      </c>
      <c r="B16" s="125"/>
      <c r="C16" s="125"/>
      <c r="D16" s="125"/>
      <c r="E16" s="125" t="s">
        <v>207</v>
      </c>
      <c r="F16" s="125"/>
      <c r="G16" s="125"/>
    </row>
    <row r="17" spans="1:7" x14ac:dyDescent="0.25">
      <c r="A17" s="122">
        <v>5</v>
      </c>
      <c r="B17" s="122"/>
      <c r="C17" s="122"/>
      <c r="D17" s="122"/>
      <c r="E17" s="123">
        <f>INDEX(A5:G11,5,7)</f>
        <v>3256</v>
      </c>
      <c r="F17" s="123"/>
      <c r="G17" s="123"/>
    </row>
  </sheetData>
  <mergeCells count="9">
    <mergeCell ref="A17:D17"/>
    <mergeCell ref="E17:G17"/>
    <mergeCell ref="A3:G3"/>
    <mergeCell ref="A13:D13"/>
    <mergeCell ref="E13:G13"/>
    <mergeCell ref="A16:D16"/>
    <mergeCell ref="E16:G16"/>
    <mergeCell ref="A14:D14"/>
    <mergeCell ref="E14:G14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2ADBE-6A7D-4CFB-8322-DACDC691DED2}">
  <sheetPr codeName="Planilha17">
    <tabColor rgb="FF00B050"/>
  </sheetPr>
  <dimension ref="H3:N11"/>
  <sheetViews>
    <sheetView workbookViewId="0">
      <selection activeCell="K18" sqref="K18"/>
    </sheetView>
  </sheetViews>
  <sheetFormatPr defaultRowHeight="15" x14ac:dyDescent="0.25"/>
  <cols>
    <col min="9" max="9" width="11.42578125" bestFit="1" customWidth="1"/>
    <col min="10" max="11" width="12.140625" bestFit="1" customWidth="1"/>
    <col min="12" max="12" width="13.7109375" bestFit="1" customWidth="1"/>
    <col min="13" max="14" width="12.140625" bestFit="1" customWidth="1"/>
  </cols>
  <sheetData>
    <row r="3" spans="8:14" ht="15.75" x14ac:dyDescent="0.25">
      <c r="H3" s="124" t="s">
        <v>196</v>
      </c>
      <c r="I3" s="124"/>
      <c r="J3" s="124"/>
      <c r="K3" s="124"/>
      <c r="L3" s="124"/>
      <c r="M3" s="124"/>
      <c r="N3" s="124"/>
    </row>
    <row r="4" spans="8:14" x14ac:dyDescent="0.25">
      <c r="H4" s="63"/>
      <c r="I4" s="63" t="s">
        <v>197</v>
      </c>
      <c r="J4" s="63" t="s">
        <v>198</v>
      </c>
      <c r="K4" s="63" t="s">
        <v>208</v>
      </c>
      <c r="L4" s="63" t="s">
        <v>98</v>
      </c>
      <c r="M4" s="63" t="s">
        <v>200</v>
      </c>
      <c r="N4" s="63" t="s">
        <v>205</v>
      </c>
    </row>
    <row r="5" spans="8:14" x14ac:dyDescent="0.25">
      <c r="H5" s="64">
        <v>1</v>
      </c>
      <c r="I5" s="64" t="s">
        <v>190</v>
      </c>
      <c r="J5" s="65">
        <v>1200</v>
      </c>
      <c r="K5" s="65">
        <v>500</v>
      </c>
      <c r="L5" s="65">
        <v>200</v>
      </c>
      <c r="M5" s="65">
        <v>1900</v>
      </c>
      <c r="N5" s="65">
        <v>150</v>
      </c>
    </row>
    <row r="6" spans="8:14" x14ac:dyDescent="0.25">
      <c r="H6" s="64">
        <v>2</v>
      </c>
      <c r="I6" s="64" t="s">
        <v>164</v>
      </c>
      <c r="J6" s="65">
        <v>1400</v>
      </c>
      <c r="K6" s="65">
        <v>600</v>
      </c>
      <c r="L6" s="65">
        <v>300</v>
      </c>
      <c r="M6" s="65">
        <v>2300</v>
      </c>
      <c r="N6" s="65">
        <v>250</v>
      </c>
    </row>
    <row r="7" spans="8:14" x14ac:dyDescent="0.25">
      <c r="H7" s="64">
        <v>3</v>
      </c>
      <c r="I7" s="64" t="s">
        <v>202</v>
      </c>
      <c r="J7" s="65">
        <v>1600</v>
      </c>
      <c r="K7" s="65">
        <v>700</v>
      </c>
      <c r="L7" s="65">
        <v>300</v>
      </c>
      <c r="M7" s="65">
        <v>2600</v>
      </c>
      <c r="N7" s="65">
        <v>180</v>
      </c>
    </row>
    <row r="8" spans="8:14" x14ac:dyDescent="0.25">
      <c r="H8" s="64">
        <v>4</v>
      </c>
      <c r="I8" s="64" t="s">
        <v>114</v>
      </c>
      <c r="J8" s="65">
        <v>1800</v>
      </c>
      <c r="K8" s="65">
        <v>800</v>
      </c>
      <c r="L8" s="65">
        <v>200</v>
      </c>
      <c r="M8" s="65">
        <v>2800</v>
      </c>
      <c r="N8" s="65">
        <v>140</v>
      </c>
    </row>
    <row r="9" spans="8:14" x14ac:dyDescent="0.25">
      <c r="H9" s="64">
        <v>5</v>
      </c>
      <c r="I9" s="64" t="s">
        <v>187</v>
      </c>
      <c r="J9" s="65">
        <v>2000</v>
      </c>
      <c r="K9" s="65">
        <v>900</v>
      </c>
      <c r="L9" s="65">
        <v>400</v>
      </c>
      <c r="M9" s="65">
        <v>3300</v>
      </c>
      <c r="N9" s="65">
        <v>220</v>
      </c>
    </row>
    <row r="10" spans="8:14" x14ac:dyDescent="0.25">
      <c r="H10" s="64">
        <v>6</v>
      </c>
      <c r="I10" s="64" t="s">
        <v>203</v>
      </c>
      <c r="J10" s="65">
        <v>2200</v>
      </c>
      <c r="K10" s="65">
        <v>1000</v>
      </c>
      <c r="L10" s="65">
        <v>600</v>
      </c>
      <c r="M10" s="65">
        <v>3800</v>
      </c>
      <c r="N10" s="65">
        <v>190</v>
      </c>
    </row>
    <row r="11" spans="8:14" x14ac:dyDescent="0.25">
      <c r="H11" s="64">
        <v>7</v>
      </c>
      <c r="I11" s="64" t="s">
        <v>204</v>
      </c>
      <c r="J11" s="65">
        <v>2400</v>
      </c>
      <c r="K11" s="65">
        <v>1100</v>
      </c>
      <c r="L11" s="65">
        <v>300</v>
      </c>
      <c r="M11" s="65">
        <v>3800</v>
      </c>
      <c r="N11" s="65">
        <v>280</v>
      </c>
    </row>
  </sheetData>
  <mergeCells count="1">
    <mergeCell ref="H3:N3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6B7F8-9420-47F0-B3E6-9147E973F9C6}">
  <sheetPr codeName="Planilha18">
    <tabColor rgb="FF00B050"/>
  </sheetPr>
  <dimension ref="A2:D10"/>
  <sheetViews>
    <sheetView workbookViewId="0">
      <selection activeCell="F7" sqref="F7"/>
    </sheetView>
  </sheetViews>
  <sheetFormatPr defaultRowHeight="15" x14ac:dyDescent="0.25"/>
  <cols>
    <col min="1" max="1" width="14.85546875" bestFit="1" customWidth="1"/>
    <col min="2" max="2" width="11.28515625" customWidth="1"/>
    <col min="3" max="3" width="14.140625" bestFit="1" customWidth="1"/>
    <col min="4" max="4" width="12.85546875" bestFit="1" customWidth="1"/>
  </cols>
  <sheetData>
    <row r="2" spans="1:4" ht="15.75" x14ac:dyDescent="0.25">
      <c r="A2" s="127" t="s">
        <v>213</v>
      </c>
      <c r="B2" s="127"/>
      <c r="C2" s="127"/>
      <c r="D2" s="127"/>
    </row>
    <row r="3" spans="1:4" x14ac:dyDescent="0.25">
      <c r="A3" s="67" t="s">
        <v>209</v>
      </c>
      <c r="B3" s="67" t="s">
        <v>210</v>
      </c>
      <c r="C3" s="67" t="s">
        <v>211</v>
      </c>
      <c r="D3" s="67" t="s">
        <v>212</v>
      </c>
    </row>
    <row r="4" spans="1:4" x14ac:dyDescent="0.25">
      <c r="A4" s="68" t="s">
        <v>214</v>
      </c>
      <c r="B4" s="69">
        <v>36809</v>
      </c>
      <c r="C4" s="68" t="s">
        <v>217</v>
      </c>
      <c r="D4" s="68">
        <v>5</v>
      </c>
    </row>
    <row r="5" spans="1:4" x14ac:dyDescent="0.25">
      <c r="A5" s="68" t="s">
        <v>215</v>
      </c>
      <c r="B5" s="69">
        <v>36810</v>
      </c>
      <c r="C5" s="68" t="s">
        <v>218</v>
      </c>
      <c r="D5" s="68">
        <v>2</v>
      </c>
    </row>
    <row r="6" spans="1:4" x14ac:dyDescent="0.25">
      <c r="A6" s="68" t="s">
        <v>54</v>
      </c>
      <c r="B6" s="69">
        <v>36811</v>
      </c>
      <c r="C6" s="68" t="s">
        <v>219</v>
      </c>
      <c r="D6" s="68">
        <v>20</v>
      </c>
    </row>
    <row r="7" spans="1:4" x14ac:dyDescent="0.25">
      <c r="A7" s="68" t="s">
        <v>59</v>
      </c>
      <c r="B7" s="69">
        <v>36812</v>
      </c>
      <c r="C7" s="68" t="s">
        <v>220</v>
      </c>
      <c r="D7" s="68">
        <v>3</v>
      </c>
    </row>
    <row r="8" spans="1:4" x14ac:dyDescent="0.25">
      <c r="A8" s="68" t="s">
        <v>6</v>
      </c>
      <c r="B8" s="69">
        <v>36813</v>
      </c>
      <c r="C8" s="68" t="s">
        <v>221</v>
      </c>
      <c r="D8" s="68">
        <v>1</v>
      </c>
    </row>
    <row r="9" spans="1:4" x14ac:dyDescent="0.25">
      <c r="A9" s="68" t="s">
        <v>56</v>
      </c>
      <c r="B9" s="69">
        <v>36814</v>
      </c>
      <c r="C9" s="68" t="s">
        <v>222</v>
      </c>
      <c r="D9" s="68">
        <v>2</v>
      </c>
    </row>
    <row r="10" spans="1:4" x14ac:dyDescent="0.25">
      <c r="A10" s="68" t="s">
        <v>216</v>
      </c>
      <c r="B10" s="69">
        <v>36815</v>
      </c>
      <c r="C10" s="68" t="s">
        <v>223</v>
      </c>
      <c r="D10" s="68">
        <v>1</v>
      </c>
    </row>
  </sheetData>
  <mergeCells count="1">
    <mergeCell ref="A2:D2"/>
  </mergeCells>
  <dataValidations count="2">
    <dataValidation type="date" allowBlank="1" showInputMessage="1" showErrorMessage="1" sqref="B4:B10" xr:uid="{75AD0635-8B9B-4CDA-9AF7-54F75D3284AF}">
      <formula1>36809</formula1>
      <formula2>44479</formula2>
    </dataValidation>
    <dataValidation type="whole" allowBlank="1" showInputMessage="1" showErrorMessage="1" sqref="D4:D10" xr:uid="{3DD6CF37-105E-4B67-A5D1-44D37A9D356D}">
      <formula1>0</formula1>
      <formula2>50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CA91-C49E-4C5D-9D92-E99B9EDEF11F}">
  <sheetPr codeName="Planilha19">
    <tabColor rgb="FF00B050"/>
  </sheetPr>
  <dimension ref="A2:D10"/>
  <sheetViews>
    <sheetView workbookViewId="0">
      <selection activeCell="I7" sqref="I7"/>
    </sheetView>
  </sheetViews>
  <sheetFormatPr defaultRowHeight="15" x14ac:dyDescent="0.25"/>
  <cols>
    <col min="1" max="1" width="10.5703125" bestFit="1" customWidth="1"/>
    <col min="2" max="2" width="13.28515625" bestFit="1" customWidth="1"/>
    <col min="3" max="4" width="12.140625" bestFit="1" customWidth="1"/>
  </cols>
  <sheetData>
    <row r="2" spans="1:4" ht="18.75" x14ac:dyDescent="0.3">
      <c r="A2" s="128" t="s">
        <v>213</v>
      </c>
      <c r="B2" s="128"/>
      <c r="C2" s="128"/>
      <c r="D2" s="128"/>
    </row>
    <row r="3" spans="1:4" x14ac:dyDescent="0.25">
      <c r="A3" s="70" t="s">
        <v>224</v>
      </c>
      <c r="B3" s="70" t="s">
        <v>225</v>
      </c>
      <c r="C3" s="70" t="s">
        <v>226</v>
      </c>
      <c r="D3" s="70" t="s">
        <v>227</v>
      </c>
    </row>
    <row r="4" spans="1:4" x14ac:dyDescent="0.25">
      <c r="A4" s="68" t="s">
        <v>228</v>
      </c>
      <c r="B4" s="71">
        <v>7000</v>
      </c>
      <c r="C4" s="71"/>
      <c r="D4" s="71"/>
    </row>
    <row r="5" spans="1:4" x14ac:dyDescent="0.25">
      <c r="A5" s="68" t="s">
        <v>229</v>
      </c>
      <c r="B5" s="71">
        <v>8000</v>
      </c>
      <c r="C5" s="71"/>
      <c r="D5" s="71"/>
    </row>
    <row r="6" spans="1:4" x14ac:dyDescent="0.25">
      <c r="A6" s="68" t="s">
        <v>230</v>
      </c>
      <c r="B6" s="71">
        <v>6000</v>
      </c>
      <c r="C6" s="71"/>
      <c r="D6" s="71"/>
    </row>
    <row r="7" spans="1:4" x14ac:dyDescent="0.25">
      <c r="A7" s="68" t="s">
        <v>231</v>
      </c>
      <c r="B7" s="71">
        <v>5000</v>
      </c>
      <c r="C7" s="71"/>
      <c r="D7" s="71"/>
    </row>
    <row r="8" spans="1:4" x14ac:dyDescent="0.25">
      <c r="A8" s="68" t="s">
        <v>232</v>
      </c>
      <c r="B8" s="71">
        <v>3000</v>
      </c>
      <c r="C8" s="71"/>
      <c r="D8" s="71"/>
    </row>
    <row r="9" spans="1:4" x14ac:dyDescent="0.25">
      <c r="A9" s="68" t="s">
        <v>233</v>
      </c>
      <c r="B9" s="71">
        <v>2000</v>
      </c>
      <c r="C9" s="71"/>
      <c r="D9" s="71"/>
    </row>
    <row r="10" spans="1:4" x14ac:dyDescent="0.25">
      <c r="A10" s="68" t="s">
        <v>234</v>
      </c>
      <c r="B10" s="71">
        <v>10000</v>
      </c>
      <c r="C10" s="71"/>
      <c r="D10" s="71"/>
    </row>
  </sheetData>
  <mergeCells count="1">
    <mergeCell ref="A2:D2"/>
  </mergeCells>
  <dataValidations count="3">
    <dataValidation type="custom" allowBlank="1" showInputMessage="1" showErrorMessage="1" sqref="C5 C7:C10" xr:uid="{0BBBAD9B-7DF0-4BBE-873F-01DAE0A68737}">
      <formula1>SUM(C5:D5) &lt;= B5</formula1>
    </dataValidation>
    <dataValidation type="custom" allowBlank="1" showInputMessage="1" showErrorMessage="1" sqref="D4:D10" xr:uid="{A3D6EC72-992D-4DDB-8D22-1789E4FFCF87}">
      <formula1>SUM(C4:D4) &lt;= B4</formula1>
    </dataValidation>
    <dataValidation type="custom" allowBlank="1" showInputMessage="1" showErrorMessage="1" sqref="C4 C6" xr:uid="{FB156FAA-A9FF-4604-945F-354CC338B660}">
      <formula1>SUM(C4:D4) &lt;= B4</formula1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D539D-1375-4E4B-B97A-BA4924A353CA}">
  <sheetPr codeName="Planilha20">
    <tabColor rgb="FF00B050"/>
  </sheetPr>
  <dimension ref="A1:G11"/>
  <sheetViews>
    <sheetView workbookViewId="0">
      <selection sqref="A1:E9"/>
    </sheetView>
  </sheetViews>
  <sheetFormatPr defaultRowHeight="15" x14ac:dyDescent="0.25"/>
  <cols>
    <col min="1" max="1" width="10.85546875" bestFit="1" customWidth="1"/>
    <col min="2" max="5" width="12.140625" bestFit="1" customWidth="1"/>
    <col min="6" max="6" width="13.28515625" customWidth="1"/>
    <col min="7" max="7" width="13.28515625" bestFit="1" customWidth="1"/>
  </cols>
  <sheetData>
    <row r="1" spans="1:7" ht="18.75" x14ac:dyDescent="0.3">
      <c r="A1" s="129" t="s">
        <v>13</v>
      </c>
      <c r="B1" s="129"/>
      <c r="C1" s="129"/>
      <c r="D1" s="129"/>
      <c r="E1" s="129"/>
    </row>
    <row r="2" spans="1:7" x14ac:dyDescent="0.25">
      <c r="A2" s="4" t="s">
        <v>235</v>
      </c>
      <c r="B2" s="4" t="s">
        <v>236</v>
      </c>
      <c r="C2" s="4" t="s">
        <v>237</v>
      </c>
      <c r="D2" s="4" t="s">
        <v>238</v>
      </c>
      <c r="E2" s="4" t="s">
        <v>239</v>
      </c>
    </row>
    <row r="3" spans="1:7" x14ac:dyDescent="0.25">
      <c r="A3" s="2" t="s">
        <v>54</v>
      </c>
      <c r="B3" s="3">
        <v>3000</v>
      </c>
      <c r="C3" s="3">
        <v>3000</v>
      </c>
      <c r="D3" s="3">
        <v>4500</v>
      </c>
      <c r="E3" s="3">
        <v>7000</v>
      </c>
      <c r="F3" t="str">
        <f>IF(SUM(B3:E3)&gt;=$D$11,"atingiu","não atingiu")</f>
        <v>atingiu</v>
      </c>
      <c r="G3" s="22"/>
    </row>
    <row r="4" spans="1:7" x14ac:dyDescent="0.25">
      <c r="A4" s="2" t="s">
        <v>240</v>
      </c>
      <c r="B4" s="3">
        <v>2000</v>
      </c>
      <c r="C4" s="3">
        <v>2000</v>
      </c>
      <c r="D4" s="3">
        <v>4000</v>
      </c>
      <c r="E4" s="3">
        <v>6000</v>
      </c>
      <c r="F4" t="str">
        <f t="shared" ref="F4:F9" si="0">IF(SUM(B4:E4)&gt;=$D$11,"atingiu","não atingiu")</f>
        <v>atingiu</v>
      </c>
      <c r="G4" s="22"/>
    </row>
    <row r="5" spans="1:7" x14ac:dyDescent="0.25">
      <c r="A5" s="2" t="s">
        <v>1</v>
      </c>
      <c r="B5" s="3">
        <v>3000</v>
      </c>
      <c r="C5" s="3">
        <v>1000</v>
      </c>
      <c r="D5" s="3">
        <v>3500</v>
      </c>
      <c r="E5" s="3">
        <v>5000</v>
      </c>
      <c r="F5" t="str">
        <f t="shared" si="0"/>
        <v>não atingiu</v>
      </c>
      <c r="G5" s="22"/>
    </row>
    <row r="6" spans="1:7" x14ac:dyDescent="0.25">
      <c r="A6" s="2" t="s">
        <v>215</v>
      </c>
      <c r="B6" s="3">
        <v>5000</v>
      </c>
      <c r="C6" s="3">
        <v>5000</v>
      </c>
      <c r="D6" s="3">
        <v>3000</v>
      </c>
      <c r="E6" s="3">
        <v>4000</v>
      </c>
      <c r="F6" t="str">
        <f t="shared" si="0"/>
        <v>atingiu</v>
      </c>
      <c r="G6" s="22"/>
    </row>
    <row r="7" spans="1:7" x14ac:dyDescent="0.25">
      <c r="A7" s="2" t="s">
        <v>57</v>
      </c>
      <c r="B7" s="3">
        <v>3000</v>
      </c>
      <c r="C7" s="3">
        <v>2000</v>
      </c>
      <c r="D7" s="3">
        <v>2500</v>
      </c>
      <c r="E7" s="3">
        <v>3000</v>
      </c>
      <c r="F7" t="str">
        <f t="shared" si="0"/>
        <v>não atingiu</v>
      </c>
      <c r="G7" s="22"/>
    </row>
    <row r="8" spans="1:7" x14ac:dyDescent="0.25">
      <c r="A8" s="2" t="s">
        <v>241</v>
      </c>
      <c r="B8" s="3">
        <v>2000</v>
      </c>
      <c r="C8" s="3">
        <v>4000</v>
      </c>
      <c r="D8" s="3">
        <v>2000</v>
      </c>
      <c r="E8" s="3">
        <v>2000</v>
      </c>
      <c r="F8" t="str">
        <f t="shared" si="0"/>
        <v>não atingiu</v>
      </c>
      <c r="G8" s="22"/>
    </row>
    <row r="9" spans="1:7" x14ac:dyDescent="0.25">
      <c r="A9" s="2" t="s">
        <v>59</v>
      </c>
      <c r="B9" s="3">
        <v>1500</v>
      </c>
      <c r="C9" s="3">
        <v>4000</v>
      </c>
      <c r="D9" s="3">
        <v>1500</v>
      </c>
      <c r="E9" s="3">
        <v>1500</v>
      </c>
      <c r="F9" t="str">
        <f t="shared" si="0"/>
        <v>não atingiu</v>
      </c>
      <c r="G9" s="22"/>
    </row>
    <row r="11" spans="1:7" x14ac:dyDescent="0.25">
      <c r="A11" s="130" t="s">
        <v>242</v>
      </c>
      <c r="B11" s="130"/>
      <c r="C11" s="130"/>
      <c r="D11" s="131">
        <v>13000</v>
      </c>
      <c r="E11" s="131"/>
    </row>
  </sheetData>
  <mergeCells count="3">
    <mergeCell ref="A1:E1"/>
    <mergeCell ref="A11:C11"/>
    <mergeCell ref="D11:E11"/>
  </mergeCells>
  <phoneticPr fontId="28" type="noConversion"/>
  <conditionalFormatting sqref="F3:F9">
    <cfRule type="cellIs" dxfId="1" priority="1" operator="equal">
      <formula>"não atingiu"</formula>
    </cfRule>
    <cfRule type="cellIs" dxfId="0" priority="2" operator="equal">
      <formula>"atingiu"</formula>
    </cfRule>
  </conditionalFormatting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CC7E-8A1B-43F7-B327-8914B3E8ED2F}">
  <sheetPr codeName="Planilha21">
    <tabColor rgb="FF00B050"/>
  </sheetPr>
  <dimension ref="A3:D11"/>
  <sheetViews>
    <sheetView workbookViewId="0">
      <selection activeCell="G9" sqref="G9"/>
    </sheetView>
  </sheetViews>
  <sheetFormatPr defaultRowHeight="15" x14ac:dyDescent="0.25"/>
  <cols>
    <col min="1" max="1" width="10.85546875" bestFit="1" customWidth="1"/>
    <col min="2" max="3" width="12.140625" bestFit="1" customWidth="1"/>
    <col min="4" max="4" width="23.5703125" bestFit="1" customWidth="1"/>
  </cols>
  <sheetData>
    <row r="3" spans="1:4" ht="18.75" x14ac:dyDescent="0.3">
      <c r="A3" s="129" t="s">
        <v>13</v>
      </c>
      <c r="B3" s="129"/>
      <c r="C3" s="129"/>
      <c r="D3" s="129"/>
    </row>
    <row r="4" spans="1:4" x14ac:dyDescent="0.25">
      <c r="A4" s="70" t="s">
        <v>235</v>
      </c>
      <c r="B4" s="70" t="s">
        <v>228</v>
      </c>
      <c r="C4" s="70" t="s">
        <v>229</v>
      </c>
      <c r="D4" s="70" t="s">
        <v>243</v>
      </c>
    </row>
    <row r="5" spans="1:4" x14ac:dyDescent="0.25">
      <c r="A5" s="66" t="s">
        <v>54</v>
      </c>
      <c r="B5" s="72">
        <v>3000</v>
      </c>
      <c r="C5" s="72">
        <v>3100</v>
      </c>
      <c r="D5" s="3" t="str">
        <f>IF(AND(B5 &gt;C5, B5 &lt;&gt; C5), "Janeiro", IF(AND(C5 &gt; B5, B5 &lt;&gt; C5), "Fevereiro", "Ambos"))</f>
        <v>Fevereiro</v>
      </c>
    </row>
    <row r="6" spans="1:4" x14ac:dyDescent="0.25">
      <c r="A6" s="66" t="s">
        <v>240</v>
      </c>
      <c r="B6" s="72">
        <v>1500</v>
      </c>
      <c r="C6" s="72">
        <v>2000</v>
      </c>
      <c r="D6" s="3" t="str">
        <f t="shared" ref="D6:D11" si="0">IF(AND(B6 &gt;C6, B6 &lt;&gt; C6), "Janeiro", IF(AND(C6 &gt; B6, B6 &lt;&gt; C6), "Fevereiro", "Ambos"))</f>
        <v>Fevereiro</v>
      </c>
    </row>
    <row r="7" spans="1:4" x14ac:dyDescent="0.25">
      <c r="A7" s="66" t="s">
        <v>1</v>
      </c>
      <c r="B7" s="72">
        <v>3000</v>
      </c>
      <c r="C7" s="72">
        <v>3000</v>
      </c>
      <c r="D7" s="3" t="str">
        <f t="shared" si="0"/>
        <v>Ambos</v>
      </c>
    </row>
    <row r="8" spans="1:4" x14ac:dyDescent="0.25">
      <c r="A8" s="66" t="s">
        <v>215</v>
      </c>
      <c r="B8" s="72">
        <v>3000</v>
      </c>
      <c r="C8" s="72">
        <v>5000</v>
      </c>
      <c r="D8" s="3" t="str">
        <f t="shared" si="0"/>
        <v>Fevereiro</v>
      </c>
    </row>
    <row r="9" spans="1:4" x14ac:dyDescent="0.25">
      <c r="A9" s="66" t="s">
        <v>57</v>
      </c>
      <c r="B9" s="72">
        <v>3000</v>
      </c>
      <c r="C9" s="72">
        <v>2000</v>
      </c>
      <c r="D9" s="3" t="str">
        <f t="shared" si="0"/>
        <v>Janeiro</v>
      </c>
    </row>
    <row r="10" spans="1:4" x14ac:dyDescent="0.25">
      <c r="A10" s="66" t="s">
        <v>241</v>
      </c>
      <c r="B10" s="72">
        <v>2000</v>
      </c>
      <c r="C10" s="72">
        <v>4000</v>
      </c>
      <c r="D10" s="3" t="str">
        <f t="shared" si="0"/>
        <v>Fevereiro</v>
      </c>
    </row>
    <row r="11" spans="1:4" x14ac:dyDescent="0.25">
      <c r="A11" s="66" t="s">
        <v>59</v>
      </c>
      <c r="B11" s="72">
        <v>1500</v>
      </c>
      <c r="C11" s="72">
        <v>1500</v>
      </c>
      <c r="D11" s="3" t="str">
        <f t="shared" si="0"/>
        <v>Ambos</v>
      </c>
    </row>
  </sheetData>
  <mergeCells count="1">
    <mergeCell ref="A3:D3"/>
  </mergeCell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9902-7A80-4424-BEFD-8F28F3DA2752}">
  <sheetPr codeName="Planilha22">
    <tabColor rgb="FF00B050"/>
  </sheetPr>
  <dimension ref="A1:B5"/>
  <sheetViews>
    <sheetView workbookViewId="0">
      <selection activeCell="D6" sqref="D6"/>
    </sheetView>
  </sheetViews>
  <sheetFormatPr defaultRowHeight="15" x14ac:dyDescent="0.25"/>
  <cols>
    <col min="1" max="1" width="8.7109375" bestFit="1" customWidth="1"/>
    <col min="2" max="2" width="18.5703125" bestFit="1" customWidth="1"/>
  </cols>
  <sheetData>
    <row r="1" spans="1:2" x14ac:dyDescent="0.25">
      <c r="A1" s="132" t="s">
        <v>248</v>
      </c>
      <c r="B1" s="132"/>
    </row>
    <row r="2" spans="1:2" x14ac:dyDescent="0.25">
      <c r="A2" s="73" t="e">
        <v>#DIV/0!</v>
      </c>
      <c r="B2" s="2" t="s">
        <v>244</v>
      </c>
    </row>
    <row r="3" spans="1:2" x14ac:dyDescent="0.25">
      <c r="A3" s="73" t="e">
        <v>#NAME?</v>
      </c>
      <c r="B3" s="2" t="s">
        <v>245</v>
      </c>
    </row>
    <row r="4" spans="1:2" x14ac:dyDescent="0.25">
      <c r="A4" s="73" t="e">
        <v>#NULL!</v>
      </c>
      <c r="B4" s="2" t="s">
        <v>246</v>
      </c>
    </row>
    <row r="5" spans="1:2" x14ac:dyDescent="0.25">
      <c r="A5" s="73" t="e">
        <v>#VALUE!</v>
      </c>
      <c r="B5" s="2" t="s">
        <v>247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50DDB-67D5-40CD-9580-F90E14FF62BB}">
  <sheetPr codeName="Planilha23">
    <tabColor rgb="FF00B050"/>
  </sheetPr>
  <dimension ref="A1:F25"/>
  <sheetViews>
    <sheetView workbookViewId="0">
      <selection activeCell="H9" sqref="H9"/>
    </sheetView>
  </sheetViews>
  <sheetFormatPr defaultRowHeight="15" x14ac:dyDescent="0.25"/>
  <cols>
    <col min="1" max="1" width="9.5703125" bestFit="1" customWidth="1"/>
    <col min="2" max="2" width="14.28515625" bestFit="1" customWidth="1"/>
    <col min="3" max="3" width="13.7109375" bestFit="1" customWidth="1"/>
    <col min="4" max="4" width="11.5703125" bestFit="1" customWidth="1"/>
    <col min="5" max="5" width="6.7109375" bestFit="1" customWidth="1"/>
    <col min="6" max="6" width="13.28515625" bestFit="1" customWidth="1"/>
  </cols>
  <sheetData>
    <row r="1" spans="1:6" ht="18.75" x14ac:dyDescent="0.3">
      <c r="A1" s="75" t="s">
        <v>224</v>
      </c>
      <c r="B1" s="75" t="s">
        <v>235</v>
      </c>
      <c r="C1" s="75" t="s">
        <v>249</v>
      </c>
      <c r="D1" s="75" t="s">
        <v>250</v>
      </c>
      <c r="E1" s="75" t="s">
        <v>251</v>
      </c>
      <c r="F1" s="75" t="s">
        <v>252</v>
      </c>
    </row>
    <row r="2" spans="1:6" x14ac:dyDescent="0.25">
      <c r="A2" s="76" t="s">
        <v>253</v>
      </c>
      <c r="B2" s="76" t="s">
        <v>113</v>
      </c>
      <c r="C2" s="76" t="s">
        <v>262</v>
      </c>
      <c r="D2" s="76" t="s">
        <v>267</v>
      </c>
      <c r="E2" s="76">
        <v>2018</v>
      </c>
      <c r="F2" s="77">
        <v>84990</v>
      </c>
    </row>
    <row r="3" spans="1:6" x14ac:dyDescent="0.25">
      <c r="A3" s="78" t="s">
        <v>254</v>
      </c>
      <c r="B3" s="78" t="s">
        <v>164</v>
      </c>
      <c r="C3" s="78" t="s">
        <v>266</v>
      </c>
      <c r="D3" s="78" t="s">
        <v>268</v>
      </c>
      <c r="E3" s="78">
        <v>2017</v>
      </c>
      <c r="F3" s="79">
        <v>75000</v>
      </c>
    </row>
    <row r="4" spans="1:6" x14ac:dyDescent="0.25">
      <c r="A4" s="76" t="s">
        <v>255</v>
      </c>
      <c r="B4" s="76" t="s">
        <v>259</v>
      </c>
      <c r="C4" s="76" t="s">
        <v>263</v>
      </c>
      <c r="D4" s="76" t="s">
        <v>269</v>
      </c>
      <c r="E4" s="76">
        <v>2018</v>
      </c>
      <c r="F4" s="77">
        <v>38890</v>
      </c>
    </row>
    <row r="5" spans="1:6" x14ac:dyDescent="0.25">
      <c r="A5" s="78" t="s">
        <v>255</v>
      </c>
      <c r="B5" s="78" t="s">
        <v>113</v>
      </c>
      <c r="C5" s="78" t="s">
        <v>262</v>
      </c>
      <c r="D5" s="78" t="s">
        <v>270</v>
      </c>
      <c r="E5" s="78">
        <v>2017</v>
      </c>
      <c r="F5" s="79">
        <v>43900</v>
      </c>
    </row>
    <row r="6" spans="1:6" x14ac:dyDescent="0.25">
      <c r="A6" s="76" t="s">
        <v>254</v>
      </c>
      <c r="B6" s="76" t="s">
        <v>260</v>
      </c>
      <c r="C6" s="76" t="s">
        <v>264</v>
      </c>
      <c r="D6" s="76" t="s">
        <v>271</v>
      </c>
      <c r="E6" s="76">
        <v>2015</v>
      </c>
      <c r="F6" s="77">
        <v>75000</v>
      </c>
    </row>
    <row r="7" spans="1:6" x14ac:dyDescent="0.25">
      <c r="A7" s="78" t="s">
        <v>256</v>
      </c>
      <c r="B7" s="78" t="s">
        <v>164</v>
      </c>
      <c r="C7" s="78" t="s">
        <v>266</v>
      </c>
      <c r="D7" s="78" t="s">
        <v>272</v>
      </c>
      <c r="E7" s="78">
        <v>2016</v>
      </c>
      <c r="F7" s="79">
        <v>37550</v>
      </c>
    </row>
    <row r="8" spans="1:6" x14ac:dyDescent="0.25">
      <c r="A8" s="76" t="s">
        <v>253</v>
      </c>
      <c r="B8" s="76" t="s">
        <v>261</v>
      </c>
      <c r="C8" s="76" t="s">
        <v>264</v>
      </c>
      <c r="D8" s="76" t="s">
        <v>273</v>
      </c>
      <c r="E8" s="76">
        <v>2015</v>
      </c>
      <c r="F8" s="77">
        <v>33000</v>
      </c>
    </row>
    <row r="9" spans="1:6" x14ac:dyDescent="0.25">
      <c r="A9" s="78" t="s">
        <v>256</v>
      </c>
      <c r="B9" s="78" t="s">
        <v>164</v>
      </c>
      <c r="C9" s="78" t="s">
        <v>263</v>
      </c>
      <c r="D9" s="78" t="s">
        <v>274</v>
      </c>
      <c r="E9" s="78">
        <v>2017</v>
      </c>
      <c r="F9" s="79">
        <v>82100</v>
      </c>
    </row>
    <row r="10" spans="1:6" x14ac:dyDescent="0.25">
      <c r="A10" s="76" t="s">
        <v>255</v>
      </c>
      <c r="B10" s="76" t="s">
        <v>261</v>
      </c>
      <c r="C10" s="76" t="s">
        <v>262</v>
      </c>
      <c r="D10" s="76" t="s">
        <v>275</v>
      </c>
      <c r="E10" s="76">
        <v>2017</v>
      </c>
      <c r="F10" s="77">
        <v>35450</v>
      </c>
    </row>
    <row r="11" spans="1:6" x14ac:dyDescent="0.25">
      <c r="A11" s="78" t="s">
        <v>254</v>
      </c>
      <c r="B11" s="78" t="s">
        <v>260</v>
      </c>
      <c r="C11" s="78" t="s">
        <v>264</v>
      </c>
      <c r="D11" s="78" t="s">
        <v>276</v>
      </c>
      <c r="E11" s="78">
        <v>2010</v>
      </c>
      <c r="F11" s="79">
        <v>34900</v>
      </c>
    </row>
    <row r="12" spans="1:6" x14ac:dyDescent="0.25">
      <c r="A12" s="76" t="s">
        <v>255</v>
      </c>
      <c r="B12" s="76" t="s">
        <v>259</v>
      </c>
      <c r="C12" s="76" t="s">
        <v>265</v>
      </c>
      <c r="D12" s="76" t="s">
        <v>277</v>
      </c>
      <c r="E12" s="76">
        <v>2011</v>
      </c>
      <c r="F12" s="77">
        <v>47000</v>
      </c>
    </row>
    <row r="13" spans="1:6" x14ac:dyDescent="0.25">
      <c r="A13" s="78" t="s">
        <v>257</v>
      </c>
      <c r="B13" s="78" t="s">
        <v>259</v>
      </c>
      <c r="C13" s="78" t="s">
        <v>266</v>
      </c>
      <c r="D13" s="78" t="s">
        <v>272</v>
      </c>
      <c r="E13" s="78">
        <v>2013</v>
      </c>
      <c r="F13" s="79">
        <v>37600</v>
      </c>
    </row>
    <row r="14" spans="1:6" x14ac:dyDescent="0.25">
      <c r="A14" s="76" t="s">
        <v>253</v>
      </c>
      <c r="B14" s="76" t="s">
        <v>113</v>
      </c>
      <c r="C14" s="76" t="s">
        <v>262</v>
      </c>
      <c r="D14" s="76" t="s">
        <v>275</v>
      </c>
      <c r="E14" s="76">
        <v>2016</v>
      </c>
      <c r="F14" s="77">
        <v>29990</v>
      </c>
    </row>
    <row r="15" spans="1:6" x14ac:dyDescent="0.25">
      <c r="A15" s="78" t="s">
        <v>257</v>
      </c>
      <c r="B15" s="78" t="s">
        <v>164</v>
      </c>
      <c r="C15" s="78" t="s">
        <v>263</v>
      </c>
      <c r="D15" s="78" t="s">
        <v>274</v>
      </c>
      <c r="E15" s="78">
        <v>2017</v>
      </c>
      <c r="F15" s="79">
        <v>82000</v>
      </c>
    </row>
    <row r="16" spans="1:6" x14ac:dyDescent="0.25">
      <c r="A16" s="76" t="s">
        <v>256</v>
      </c>
      <c r="B16" s="76" t="s">
        <v>259</v>
      </c>
      <c r="C16" s="76" t="s">
        <v>262</v>
      </c>
      <c r="D16" s="76" t="s">
        <v>278</v>
      </c>
      <c r="E16" s="76">
        <v>2011</v>
      </c>
      <c r="F16" s="77">
        <v>21500</v>
      </c>
    </row>
    <row r="17" spans="1:6" x14ac:dyDescent="0.25">
      <c r="A17" s="78" t="s">
        <v>256</v>
      </c>
      <c r="B17" s="78" t="s">
        <v>113</v>
      </c>
      <c r="C17" s="78" t="s">
        <v>265</v>
      </c>
      <c r="D17" s="78" t="s">
        <v>277</v>
      </c>
      <c r="E17" s="78">
        <v>2012</v>
      </c>
      <c r="F17" s="79">
        <v>56900</v>
      </c>
    </row>
    <row r="18" spans="1:6" x14ac:dyDescent="0.25">
      <c r="A18" s="76" t="s">
        <v>258</v>
      </c>
      <c r="B18" s="76" t="s">
        <v>260</v>
      </c>
      <c r="C18" s="76" t="s">
        <v>264</v>
      </c>
      <c r="D18" s="76" t="s">
        <v>279</v>
      </c>
      <c r="E18" s="76">
        <v>2009</v>
      </c>
      <c r="F18" s="77">
        <v>18890</v>
      </c>
    </row>
    <row r="19" spans="1:6" x14ac:dyDescent="0.25">
      <c r="A19" s="78" t="s">
        <v>258</v>
      </c>
      <c r="B19" s="78" t="s">
        <v>164</v>
      </c>
      <c r="C19" s="78" t="s">
        <v>266</v>
      </c>
      <c r="D19" s="78" t="s">
        <v>280</v>
      </c>
      <c r="E19" s="78">
        <v>2010</v>
      </c>
      <c r="F19" s="79">
        <v>18900</v>
      </c>
    </row>
    <row r="20" spans="1:6" x14ac:dyDescent="0.25">
      <c r="A20" s="76" t="s">
        <v>253</v>
      </c>
      <c r="B20" s="76" t="s">
        <v>261</v>
      </c>
      <c r="C20" s="76" t="s">
        <v>265</v>
      </c>
      <c r="D20" s="76" t="s">
        <v>281</v>
      </c>
      <c r="E20" s="76">
        <v>2014</v>
      </c>
      <c r="F20" s="77">
        <v>30900</v>
      </c>
    </row>
    <row r="21" spans="1:6" x14ac:dyDescent="0.25">
      <c r="A21" s="78" t="s">
        <v>254</v>
      </c>
      <c r="B21" s="78" t="s">
        <v>164</v>
      </c>
      <c r="C21" s="78" t="s">
        <v>265</v>
      </c>
      <c r="D21" s="78" t="s">
        <v>282</v>
      </c>
      <c r="E21" s="78">
        <v>2012</v>
      </c>
      <c r="F21" s="79">
        <v>43930</v>
      </c>
    </row>
    <row r="22" spans="1:6" x14ac:dyDescent="0.25">
      <c r="A22" s="76" t="s">
        <v>258</v>
      </c>
      <c r="B22" s="76" t="s">
        <v>261</v>
      </c>
      <c r="C22" s="76" t="s">
        <v>262</v>
      </c>
      <c r="D22" s="76" t="s">
        <v>278</v>
      </c>
      <c r="E22" s="76">
        <v>2016</v>
      </c>
      <c r="F22" s="77">
        <v>29900</v>
      </c>
    </row>
    <row r="23" spans="1:6" x14ac:dyDescent="0.25">
      <c r="A23" s="78" t="s">
        <v>257</v>
      </c>
      <c r="B23" s="78" t="s">
        <v>260</v>
      </c>
      <c r="C23" s="78" t="s">
        <v>263</v>
      </c>
      <c r="D23" s="78" t="s">
        <v>283</v>
      </c>
      <c r="E23" s="78">
        <v>2004</v>
      </c>
      <c r="F23" s="79">
        <v>87800</v>
      </c>
    </row>
    <row r="24" spans="1:6" x14ac:dyDescent="0.25">
      <c r="A24" s="76" t="s">
        <v>258</v>
      </c>
      <c r="B24" s="76" t="s">
        <v>259</v>
      </c>
      <c r="C24" s="76" t="s">
        <v>265</v>
      </c>
      <c r="D24" s="76" t="s">
        <v>281</v>
      </c>
      <c r="E24" s="76">
        <v>2016</v>
      </c>
      <c r="F24" s="77">
        <v>33540</v>
      </c>
    </row>
    <row r="25" spans="1:6" x14ac:dyDescent="0.25">
      <c r="A25" s="78" t="s">
        <v>253</v>
      </c>
      <c r="B25" s="78" t="s">
        <v>259</v>
      </c>
      <c r="C25" s="78" t="s">
        <v>266</v>
      </c>
      <c r="D25" s="78" t="s">
        <v>268</v>
      </c>
      <c r="E25" s="78">
        <v>2018</v>
      </c>
      <c r="F25" s="79">
        <v>88900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AD481-7707-4B28-AAC9-82E236C1EF05}">
  <sheetPr codeName="Planilha24">
    <tabColor rgb="FF00E266"/>
  </sheetPr>
  <dimension ref="A3:H10"/>
  <sheetViews>
    <sheetView workbookViewId="0">
      <selection activeCell="G12" sqref="G12"/>
    </sheetView>
  </sheetViews>
  <sheetFormatPr defaultRowHeight="15" x14ac:dyDescent="0.25"/>
  <cols>
    <col min="1" max="1" width="18" bestFit="1" customWidth="1"/>
    <col min="2" max="2" width="19.5703125" bestFit="1" customWidth="1"/>
    <col min="3" max="3" width="9.5703125" bestFit="1" customWidth="1"/>
    <col min="4" max="7" width="7" bestFit="1" customWidth="1"/>
    <col min="8" max="8" width="10.7109375" bestFit="1" customWidth="1"/>
  </cols>
  <sheetData>
    <row r="3" spans="1:8" x14ac:dyDescent="0.25">
      <c r="A3" s="74" t="s">
        <v>287</v>
      </c>
      <c r="B3" s="74" t="s">
        <v>284</v>
      </c>
      <c r="C3" s="74"/>
      <c r="D3" s="74"/>
      <c r="E3" s="74"/>
      <c r="F3" s="74"/>
      <c r="G3" s="74"/>
      <c r="H3" s="74"/>
    </row>
    <row r="4" spans="1:8" x14ac:dyDescent="0.25">
      <c r="A4" s="74" t="s">
        <v>286</v>
      </c>
      <c r="B4" s="74" t="s">
        <v>253</v>
      </c>
      <c r="C4" s="74" t="s">
        <v>254</v>
      </c>
      <c r="D4" s="74" t="s">
        <v>255</v>
      </c>
      <c r="E4" s="74" t="s">
        <v>256</v>
      </c>
      <c r="F4" s="74" t="s">
        <v>257</v>
      </c>
      <c r="G4" s="74" t="s">
        <v>258</v>
      </c>
      <c r="H4" s="74" t="s">
        <v>285</v>
      </c>
    </row>
    <row r="5" spans="1:8" x14ac:dyDescent="0.25">
      <c r="A5" s="80" t="s">
        <v>259</v>
      </c>
      <c r="B5">
        <v>88900</v>
      </c>
      <c r="D5">
        <v>85890</v>
      </c>
      <c r="E5">
        <v>21500</v>
      </c>
      <c r="F5">
        <v>37600</v>
      </c>
      <c r="G5">
        <v>33540</v>
      </c>
      <c r="H5">
        <v>267430</v>
      </c>
    </row>
    <row r="6" spans="1:8" x14ac:dyDescent="0.25">
      <c r="A6" s="80" t="s">
        <v>261</v>
      </c>
      <c r="B6">
        <v>63900</v>
      </c>
      <c r="D6">
        <v>35450</v>
      </c>
      <c r="G6">
        <v>29900</v>
      </c>
      <c r="H6">
        <v>129250</v>
      </c>
    </row>
    <row r="7" spans="1:8" x14ac:dyDescent="0.25">
      <c r="A7" s="80" t="s">
        <v>164</v>
      </c>
      <c r="C7">
        <v>118930</v>
      </c>
      <c r="E7">
        <v>119650</v>
      </c>
      <c r="F7">
        <v>82000</v>
      </c>
      <c r="G7">
        <v>18900</v>
      </c>
      <c r="H7">
        <v>339480</v>
      </c>
    </row>
    <row r="8" spans="1:8" x14ac:dyDescent="0.25">
      <c r="A8" s="80" t="s">
        <v>260</v>
      </c>
      <c r="C8">
        <v>109900</v>
      </c>
      <c r="F8">
        <v>87800</v>
      </c>
      <c r="G8">
        <v>18890</v>
      </c>
      <c r="H8">
        <v>216590</v>
      </c>
    </row>
    <row r="9" spans="1:8" x14ac:dyDescent="0.25">
      <c r="A9" s="80" t="s">
        <v>113</v>
      </c>
      <c r="B9">
        <v>114980</v>
      </c>
      <c r="D9">
        <v>43900</v>
      </c>
      <c r="E9">
        <v>56900</v>
      </c>
      <c r="H9">
        <v>215780</v>
      </c>
    </row>
    <row r="10" spans="1:8" x14ac:dyDescent="0.25">
      <c r="A10" s="81" t="s">
        <v>285</v>
      </c>
      <c r="B10" s="74">
        <v>267780</v>
      </c>
      <c r="C10" s="74">
        <v>228830</v>
      </c>
      <c r="D10" s="74">
        <v>165240</v>
      </c>
      <c r="E10" s="74">
        <v>198050</v>
      </c>
      <c r="F10" s="74">
        <v>207400</v>
      </c>
      <c r="G10" s="74">
        <v>101230</v>
      </c>
      <c r="H10" s="74">
        <v>1168530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A2A27-6B06-4FDB-866A-2BE9A66ADB2D}">
  <sheetPr codeName="Planilha25">
    <tabColor rgb="FF00B050"/>
  </sheetPr>
  <dimension ref="B2:F26"/>
  <sheetViews>
    <sheetView workbookViewId="0">
      <selection activeCell="H6" sqref="H6"/>
    </sheetView>
  </sheetViews>
  <sheetFormatPr defaultRowHeight="15" x14ac:dyDescent="0.25"/>
  <cols>
    <col min="1" max="1" width="6.7109375" customWidth="1"/>
    <col min="2" max="2" width="9.5703125" bestFit="1" customWidth="1"/>
    <col min="3" max="3" width="13.7109375" bestFit="1" customWidth="1"/>
    <col min="4" max="4" width="11.5703125" bestFit="1" customWidth="1"/>
    <col min="5" max="5" width="6.7109375" bestFit="1" customWidth="1"/>
    <col min="6" max="6" width="13.28515625" bestFit="1" customWidth="1"/>
  </cols>
  <sheetData>
    <row r="2" spans="2:6" ht="18.75" x14ac:dyDescent="0.3">
      <c r="B2" s="75" t="s">
        <v>224</v>
      </c>
      <c r="C2" s="75" t="s">
        <v>249</v>
      </c>
      <c r="D2" s="75" t="s">
        <v>250</v>
      </c>
      <c r="E2" s="75" t="s">
        <v>251</v>
      </c>
      <c r="F2" s="75" t="s">
        <v>252</v>
      </c>
    </row>
    <row r="3" spans="2:6" x14ac:dyDescent="0.25">
      <c r="B3" s="76" t="s">
        <v>253</v>
      </c>
      <c r="C3" s="76" t="s">
        <v>262</v>
      </c>
      <c r="D3" s="76" t="s">
        <v>267</v>
      </c>
      <c r="E3" s="76">
        <v>2018</v>
      </c>
      <c r="F3" s="77">
        <v>84990</v>
      </c>
    </row>
    <row r="4" spans="2:6" x14ac:dyDescent="0.25">
      <c r="B4" s="78" t="s">
        <v>254</v>
      </c>
      <c r="C4" s="78" t="s">
        <v>266</v>
      </c>
      <c r="D4" s="78" t="s">
        <v>268</v>
      </c>
      <c r="E4" s="78">
        <v>2017</v>
      </c>
      <c r="F4" s="79">
        <v>75000</v>
      </c>
    </row>
    <row r="5" spans="2:6" x14ac:dyDescent="0.25">
      <c r="B5" s="76" t="s">
        <v>255</v>
      </c>
      <c r="C5" s="76" t="s">
        <v>263</v>
      </c>
      <c r="D5" s="76" t="s">
        <v>269</v>
      </c>
      <c r="E5" s="76">
        <v>2018</v>
      </c>
      <c r="F5" s="77">
        <v>38890</v>
      </c>
    </row>
    <row r="6" spans="2:6" x14ac:dyDescent="0.25">
      <c r="B6" s="78" t="s">
        <v>255</v>
      </c>
      <c r="C6" s="78" t="s">
        <v>262</v>
      </c>
      <c r="D6" s="78" t="s">
        <v>270</v>
      </c>
      <c r="E6" s="78">
        <v>2017</v>
      </c>
      <c r="F6" s="79">
        <v>43900</v>
      </c>
    </row>
    <row r="7" spans="2:6" x14ac:dyDescent="0.25">
      <c r="B7" s="76" t="s">
        <v>254</v>
      </c>
      <c r="C7" s="76" t="s">
        <v>264</v>
      </c>
      <c r="D7" s="76" t="s">
        <v>271</v>
      </c>
      <c r="E7" s="76">
        <v>2015</v>
      </c>
      <c r="F7" s="77">
        <v>75000</v>
      </c>
    </row>
    <row r="8" spans="2:6" x14ac:dyDescent="0.25">
      <c r="B8" s="78" t="s">
        <v>256</v>
      </c>
      <c r="C8" s="78" t="s">
        <v>266</v>
      </c>
      <c r="D8" s="78" t="s">
        <v>272</v>
      </c>
      <c r="E8" s="78">
        <v>2016</v>
      </c>
      <c r="F8" s="79">
        <v>37550</v>
      </c>
    </row>
    <row r="9" spans="2:6" x14ac:dyDescent="0.25">
      <c r="B9" s="76" t="s">
        <v>253</v>
      </c>
      <c r="C9" s="76" t="s">
        <v>264</v>
      </c>
      <c r="D9" s="76" t="s">
        <v>273</v>
      </c>
      <c r="E9" s="76">
        <v>2015</v>
      </c>
      <c r="F9" s="77">
        <v>33000</v>
      </c>
    </row>
    <row r="10" spans="2:6" x14ac:dyDescent="0.25">
      <c r="B10" s="78" t="s">
        <v>256</v>
      </c>
      <c r="C10" s="78" t="s">
        <v>263</v>
      </c>
      <c r="D10" s="78" t="s">
        <v>274</v>
      </c>
      <c r="E10" s="78">
        <v>2017</v>
      </c>
      <c r="F10" s="79">
        <v>82100</v>
      </c>
    </row>
    <row r="11" spans="2:6" x14ac:dyDescent="0.25">
      <c r="B11" s="76" t="s">
        <v>255</v>
      </c>
      <c r="C11" s="76" t="s">
        <v>262</v>
      </c>
      <c r="D11" s="76" t="s">
        <v>275</v>
      </c>
      <c r="E11" s="76">
        <v>2017</v>
      </c>
      <c r="F11" s="77">
        <v>35450</v>
      </c>
    </row>
    <row r="12" spans="2:6" x14ac:dyDescent="0.25">
      <c r="B12" s="78" t="s">
        <v>254</v>
      </c>
      <c r="C12" s="78" t="s">
        <v>264</v>
      </c>
      <c r="D12" s="78" t="s">
        <v>276</v>
      </c>
      <c r="E12" s="78">
        <v>2010</v>
      </c>
      <c r="F12" s="79">
        <v>34900</v>
      </c>
    </row>
    <row r="13" spans="2:6" x14ac:dyDescent="0.25">
      <c r="B13" s="76" t="s">
        <v>255</v>
      </c>
      <c r="C13" s="76" t="s">
        <v>265</v>
      </c>
      <c r="D13" s="76" t="s">
        <v>277</v>
      </c>
      <c r="E13" s="76">
        <v>2011</v>
      </c>
      <c r="F13" s="77">
        <v>47000</v>
      </c>
    </row>
    <row r="14" spans="2:6" x14ac:dyDescent="0.25">
      <c r="B14" s="78" t="s">
        <v>257</v>
      </c>
      <c r="C14" s="78" t="s">
        <v>266</v>
      </c>
      <c r="D14" s="78" t="s">
        <v>272</v>
      </c>
      <c r="E14" s="78">
        <v>2013</v>
      </c>
      <c r="F14" s="79">
        <v>37600</v>
      </c>
    </row>
    <row r="15" spans="2:6" x14ac:dyDescent="0.25">
      <c r="B15" s="76" t="s">
        <v>253</v>
      </c>
      <c r="C15" s="76" t="s">
        <v>262</v>
      </c>
      <c r="D15" s="76" t="s">
        <v>275</v>
      </c>
      <c r="E15" s="76">
        <v>2016</v>
      </c>
      <c r="F15" s="77">
        <v>29990</v>
      </c>
    </row>
    <row r="16" spans="2:6" x14ac:dyDescent="0.25">
      <c r="B16" s="78" t="s">
        <v>257</v>
      </c>
      <c r="C16" s="78" t="s">
        <v>263</v>
      </c>
      <c r="D16" s="78" t="s">
        <v>274</v>
      </c>
      <c r="E16" s="78">
        <v>2017</v>
      </c>
      <c r="F16" s="79">
        <v>82000</v>
      </c>
    </row>
    <row r="17" spans="2:6" x14ac:dyDescent="0.25">
      <c r="B17" s="76" t="s">
        <v>256</v>
      </c>
      <c r="C17" s="76" t="s">
        <v>262</v>
      </c>
      <c r="D17" s="76" t="s">
        <v>278</v>
      </c>
      <c r="E17" s="76">
        <v>2011</v>
      </c>
      <c r="F17" s="77">
        <v>21500</v>
      </c>
    </row>
    <row r="18" spans="2:6" x14ac:dyDescent="0.25">
      <c r="B18" s="78" t="s">
        <v>256</v>
      </c>
      <c r="C18" s="78" t="s">
        <v>265</v>
      </c>
      <c r="D18" s="78" t="s">
        <v>277</v>
      </c>
      <c r="E18" s="78">
        <v>2012</v>
      </c>
      <c r="F18" s="79">
        <v>56900</v>
      </c>
    </row>
    <row r="19" spans="2:6" x14ac:dyDescent="0.25">
      <c r="B19" s="76" t="s">
        <v>258</v>
      </c>
      <c r="C19" s="76" t="s">
        <v>264</v>
      </c>
      <c r="D19" s="76" t="s">
        <v>279</v>
      </c>
      <c r="E19" s="76">
        <v>2009</v>
      </c>
      <c r="F19" s="77">
        <v>18890</v>
      </c>
    </row>
    <row r="20" spans="2:6" x14ac:dyDescent="0.25">
      <c r="B20" s="78" t="s">
        <v>258</v>
      </c>
      <c r="C20" s="78" t="s">
        <v>266</v>
      </c>
      <c r="D20" s="78" t="s">
        <v>280</v>
      </c>
      <c r="E20" s="78">
        <v>2010</v>
      </c>
      <c r="F20" s="79">
        <v>18900</v>
      </c>
    </row>
    <row r="21" spans="2:6" x14ac:dyDescent="0.25">
      <c r="B21" s="76" t="s">
        <v>253</v>
      </c>
      <c r="C21" s="76" t="s">
        <v>265</v>
      </c>
      <c r="D21" s="76" t="s">
        <v>281</v>
      </c>
      <c r="E21" s="76">
        <v>2014</v>
      </c>
      <c r="F21" s="77">
        <v>30900</v>
      </c>
    </row>
    <row r="22" spans="2:6" x14ac:dyDescent="0.25">
      <c r="B22" s="78" t="s">
        <v>254</v>
      </c>
      <c r="C22" s="78" t="s">
        <v>265</v>
      </c>
      <c r="D22" s="78" t="s">
        <v>282</v>
      </c>
      <c r="E22" s="78">
        <v>2012</v>
      </c>
      <c r="F22" s="79">
        <v>43930</v>
      </c>
    </row>
    <row r="23" spans="2:6" x14ac:dyDescent="0.25">
      <c r="B23" s="76" t="s">
        <v>258</v>
      </c>
      <c r="C23" s="76" t="s">
        <v>262</v>
      </c>
      <c r="D23" s="76" t="s">
        <v>278</v>
      </c>
      <c r="E23" s="76">
        <v>2016</v>
      </c>
      <c r="F23" s="77">
        <v>29900</v>
      </c>
    </row>
    <row r="24" spans="2:6" x14ac:dyDescent="0.25">
      <c r="B24" s="78" t="s">
        <v>257</v>
      </c>
      <c r="C24" s="78" t="s">
        <v>263</v>
      </c>
      <c r="D24" s="78" t="s">
        <v>283</v>
      </c>
      <c r="E24" s="78">
        <v>2004</v>
      </c>
      <c r="F24" s="79">
        <v>87800</v>
      </c>
    </row>
    <row r="25" spans="2:6" x14ac:dyDescent="0.25">
      <c r="B25" s="76" t="s">
        <v>258</v>
      </c>
      <c r="C25" s="76" t="s">
        <v>265</v>
      </c>
      <c r="D25" s="76" t="s">
        <v>281</v>
      </c>
      <c r="E25" s="76">
        <v>2016</v>
      </c>
      <c r="F25" s="77">
        <v>33540</v>
      </c>
    </row>
    <row r="26" spans="2:6" x14ac:dyDescent="0.25">
      <c r="B26" s="78" t="s">
        <v>253</v>
      </c>
      <c r="C26" s="78" t="s">
        <v>266</v>
      </c>
      <c r="D26" s="78" t="s">
        <v>268</v>
      </c>
      <c r="E26" s="78">
        <v>2018</v>
      </c>
      <c r="F26" s="79">
        <v>88900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2B59A-2F04-4752-959F-A063EDC9F703}">
  <sheetPr codeName="Planilha26">
    <tabColor rgb="FF00E266"/>
  </sheetPr>
  <dimension ref="A1:H3"/>
  <sheetViews>
    <sheetView workbookViewId="0">
      <selection activeCell="J13" sqref="J13"/>
    </sheetView>
  </sheetViews>
  <sheetFormatPr defaultRowHeight="15" x14ac:dyDescent="0.25"/>
  <cols>
    <col min="1" max="1" width="15" bestFit="1" customWidth="1"/>
    <col min="2" max="2" width="19.5703125" bestFit="1" customWidth="1"/>
    <col min="3" max="3" width="9.5703125" bestFit="1" customWidth="1"/>
    <col min="4" max="7" width="7" bestFit="1" customWidth="1"/>
    <col min="8" max="8" width="10.7109375" bestFit="1" customWidth="1"/>
  </cols>
  <sheetData>
    <row r="1" spans="1:8" x14ac:dyDescent="0.25">
      <c r="A1" s="82"/>
      <c r="B1" s="82" t="s">
        <v>284</v>
      </c>
      <c r="C1" s="82"/>
      <c r="D1" s="82"/>
      <c r="E1" s="82"/>
      <c r="F1" s="82"/>
      <c r="G1" s="82"/>
      <c r="H1" s="82"/>
    </row>
    <row r="2" spans="1:8" x14ac:dyDescent="0.25">
      <c r="A2" s="82"/>
      <c r="B2" s="82" t="s">
        <v>253</v>
      </c>
      <c r="C2" s="82" t="s">
        <v>254</v>
      </c>
      <c r="D2" s="82" t="s">
        <v>255</v>
      </c>
      <c r="E2" s="82" t="s">
        <v>256</v>
      </c>
      <c r="F2" s="82" t="s">
        <v>257</v>
      </c>
      <c r="G2" s="82" t="s">
        <v>258</v>
      </c>
      <c r="H2" s="82" t="s">
        <v>285</v>
      </c>
    </row>
    <row r="3" spans="1:8" x14ac:dyDescent="0.25">
      <c r="A3" s="82" t="s">
        <v>287</v>
      </c>
      <c r="B3" s="82">
        <v>267780</v>
      </c>
      <c r="C3" s="82">
        <v>228830</v>
      </c>
      <c r="D3" s="82">
        <v>165240</v>
      </c>
      <c r="E3" s="82">
        <v>198050</v>
      </c>
      <c r="F3" s="82">
        <v>207400</v>
      </c>
      <c r="G3" s="82">
        <v>101230</v>
      </c>
      <c r="H3" s="82">
        <v>1168530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05040-B9DA-4E2A-B5C8-12F80D953969}">
  <sheetPr codeName="Planilha27">
    <tabColor rgb="FF00B050"/>
  </sheetPr>
  <dimension ref="B4:D11"/>
  <sheetViews>
    <sheetView workbookViewId="0">
      <selection activeCell="H12" sqref="H12"/>
    </sheetView>
  </sheetViews>
  <sheetFormatPr defaultRowHeight="15" x14ac:dyDescent="0.25"/>
  <cols>
    <col min="2" max="2" width="17.140625" bestFit="1" customWidth="1"/>
    <col min="3" max="3" width="11" bestFit="1" customWidth="1"/>
    <col min="4" max="4" width="9.28515625" bestFit="1" customWidth="1"/>
  </cols>
  <sheetData>
    <row r="4" spans="2:4" x14ac:dyDescent="0.25">
      <c r="B4" t="s">
        <v>15</v>
      </c>
      <c r="C4" t="s">
        <v>16</v>
      </c>
      <c r="D4" t="s">
        <v>17</v>
      </c>
    </row>
    <row r="5" spans="2:4" x14ac:dyDescent="0.25">
      <c r="B5" s="17">
        <v>44460</v>
      </c>
      <c r="C5" t="s">
        <v>18</v>
      </c>
      <c r="D5">
        <v>700</v>
      </c>
    </row>
    <row r="6" spans="2:4" x14ac:dyDescent="0.25">
      <c r="B6" s="17">
        <v>44461</v>
      </c>
      <c r="C6" t="s">
        <v>19</v>
      </c>
      <c r="D6">
        <v>800</v>
      </c>
    </row>
    <row r="7" spans="2:4" x14ac:dyDescent="0.25">
      <c r="B7" s="17">
        <v>44462</v>
      </c>
      <c r="C7" t="s">
        <v>20</v>
      </c>
      <c r="D7">
        <v>900</v>
      </c>
    </row>
    <row r="8" spans="2:4" x14ac:dyDescent="0.25">
      <c r="B8" s="17">
        <v>44463</v>
      </c>
      <c r="C8" t="s">
        <v>18</v>
      </c>
      <c r="D8">
        <v>600</v>
      </c>
    </row>
    <row r="9" spans="2:4" x14ac:dyDescent="0.25">
      <c r="B9" s="17">
        <v>44464</v>
      </c>
      <c r="C9" t="s">
        <v>21</v>
      </c>
      <c r="D9">
        <v>650</v>
      </c>
    </row>
    <row r="10" spans="2:4" x14ac:dyDescent="0.25">
      <c r="B10" s="17">
        <v>44465</v>
      </c>
      <c r="C10" t="s">
        <v>22</v>
      </c>
      <c r="D10">
        <v>330</v>
      </c>
    </row>
    <row r="11" spans="2:4" x14ac:dyDescent="0.25">
      <c r="B11" s="17">
        <v>44466</v>
      </c>
      <c r="C11" t="s">
        <v>23</v>
      </c>
      <c r="D11">
        <v>400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72ED9-7808-43DE-9B17-1A160B2FE480}">
  <sheetPr codeName="Planilha28">
    <tabColor rgb="FF00B050"/>
  </sheetPr>
  <dimension ref="A2:F11"/>
  <sheetViews>
    <sheetView workbookViewId="0">
      <selection activeCell="G11" sqref="G11"/>
    </sheetView>
  </sheetViews>
  <sheetFormatPr defaultRowHeight="15" x14ac:dyDescent="0.25"/>
  <sheetData>
    <row r="2" spans="1:6" x14ac:dyDescent="0.25">
      <c r="A2" s="83"/>
      <c r="B2" s="83" t="s">
        <v>291</v>
      </c>
      <c r="C2" s="83" t="s">
        <v>292</v>
      </c>
      <c r="D2" s="83" t="s">
        <v>293</v>
      </c>
      <c r="E2" s="83" t="s">
        <v>294</v>
      </c>
      <c r="F2" s="83" t="s">
        <v>295</v>
      </c>
    </row>
    <row r="3" spans="1:6" x14ac:dyDescent="0.25">
      <c r="A3" s="83">
        <v>1</v>
      </c>
      <c r="B3" t="s">
        <v>288</v>
      </c>
      <c r="E3" s="74">
        <v>0</v>
      </c>
    </row>
    <row r="4" spans="1:6" x14ac:dyDescent="0.25">
      <c r="A4" s="83">
        <v>2</v>
      </c>
      <c r="B4" t="s">
        <v>289</v>
      </c>
      <c r="C4" s="74"/>
      <c r="E4" s="74">
        <v>8</v>
      </c>
      <c r="F4" t="e">
        <f>VLOOKUP("10",ListaFrutas,1)</f>
        <v>#N/A</v>
      </c>
    </row>
    <row r="5" spans="1:6" x14ac:dyDescent="0.25">
      <c r="A5" s="83">
        <v>3</v>
      </c>
      <c r="B5" t="s">
        <v>290</v>
      </c>
      <c r="E5" s="74">
        <v>10</v>
      </c>
      <c r="F5" t="str">
        <f>IFERROR(F4,"Não encontrei")</f>
        <v>Não encontrei</v>
      </c>
    </row>
    <row r="6" spans="1:6" x14ac:dyDescent="0.25">
      <c r="A6" s="83">
        <v>4</v>
      </c>
      <c r="B6" t="s">
        <v>289</v>
      </c>
      <c r="E6" s="74">
        <v>9</v>
      </c>
    </row>
    <row r="7" spans="1:6" x14ac:dyDescent="0.25">
      <c r="A7" s="83">
        <v>5</v>
      </c>
      <c r="B7" t="s">
        <v>288</v>
      </c>
      <c r="E7" s="74">
        <v>10</v>
      </c>
    </row>
    <row r="8" spans="1:6" x14ac:dyDescent="0.25">
      <c r="A8" s="83">
        <v>6</v>
      </c>
      <c r="B8" t="s">
        <v>288</v>
      </c>
      <c r="E8" s="74">
        <v>7</v>
      </c>
    </row>
    <row r="9" spans="1:6" x14ac:dyDescent="0.25">
      <c r="A9" s="83">
        <v>7</v>
      </c>
      <c r="B9" t="s">
        <v>289</v>
      </c>
      <c r="E9" s="74">
        <v>2</v>
      </c>
    </row>
    <row r="10" spans="1:6" x14ac:dyDescent="0.25">
      <c r="A10" s="83">
        <v>8</v>
      </c>
      <c r="B10" t="s">
        <v>290</v>
      </c>
      <c r="E10" s="74">
        <v>4</v>
      </c>
    </row>
    <row r="11" spans="1:6" x14ac:dyDescent="0.25">
      <c r="E11" s="23">
        <f>SUM(E3:E10)</f>
        <v>50</v>
      </c>
    </row>
  </sheetData>
  <dataValidations count="2">
    <dataValidation type="list" allowBlank="1" showInputMessage="1" showErrorMessage="1" sqref="C4" xr:uid="{E42AE84E-1C62-40C1-B59D-5814D2D6A316}">
      <formula1>$B$3:$B$10</formula1>
    </dataValidation>
    <dataValidation type="whole" allowBlank="1" showInputMessage="1" showErrorMessage="1" sqref="E3:E10" xr:uid="{DBF89511-4A68-4765-AA7C-5675D7B87C3D}">
      <formula1>0</formula1>
      <formula2>10</formula2>
    </dataValidation>
  </dataValidation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7B101-1698-4DBA-976F-8E9673622C20}">
  <sheetPr codeName="Planilha29">
    <tabColor rgb="FF00B050"/>
  </sheetPr>
  <dimension ref="B3:D12"/>
  <sheetViews>
    <sheetView workbookViewId="0">
      <selection activeCell="E11" sqref="E11"/>
    </sheetView>
  </sheetViews>
  <sheetFormatPr defaultRowHeight="15" x14ac:dyDescent="0.25"/>
  <cols>
    <col min="2" max="2" width="32.5703125" bestFit="1" customWidth="1"/>
    <col min="3" max="3" width="18.85546875" customWidth="1"/>
    <col min="4" max="4" width="20.85546875" customWidth="1"/>
  </cols>
  <sheetData>
    <row r="3" spans="2:4" x14ac:dyDescent="0.25">
      <c r="B3" s="84" t="s">
        <v>298</v>
      </c>
      <c r="C3" s="85" t="s">
        <v>296</v>
      </c>
      <c r="D3" s="86" t="s">
        <v>297</v>
      </c>
    </row>
    <row r="4" spans="2:4" x14ac:dyDescent="0.25">
      <c r="B4" s="89" t="s">
        <v>299</v>
      </c>
      <c r="C4" s="87">
        <v>2</v>
      </c>
      <c r="D4" s="92">
        <v>29356</v>
      </c>
    </row>
    <row r="5" spans="2:4" x14ac:dyDescent="0.25">
      <c r="B5" s="89" t="s">
        <v>159</v>
      </c>
      <c r="C5" s="87">
        <v>1</v>
      </c>
      <c r="D5" s="92">
        <v>35006</v>
      </c>
    </row>
    <row r="6" spans="2:4" x14ac:dyDescent="0.25">
      <c r="B6" s="89" t="s">
        <v>186</v>
      </c>
      <c r="C6" s="87">
        <v>3</v>
      </c>
      <c r="D6" s="92">
        <v>28693</v>
      </c>
    </row>
    <row r="7" spans="2:4" x14ac:dyDescent="0.25">
      <c r="B7" s="89" t="s">
        <v>261</v>
      </c>
      <c r="C7" s="87">
        <v>0</v>
      </c>
      <c r="D7" s="92">
        <v>36779</v>
      </c>
    </row>
    <row r="8" spans="2:4" x14ac:dyDescent="0.25">
      <c r="B8" s="90" t="s">
        <v>164</v>
      </c>
      <c r="C8" s="88">
        <v>2</v>
      </c>
      <c r="D8" s="93">
        <v>33214</v>
      </c>
    </row>
    <row r="10" spans="2:4" x14ac:dyDescent="0.25">
      <c r="B10" t="str">
        <f>CONCATENATE(B5," tem ",C5," filho(s) e nasceu em ",TEXT(D5,"dd/mm/yyyy"))</f>
        <v>Maria tem 1 filho(s) e nasceu em 03/11/yyyy</v>
      </c>
    </row>
    <row r="12" spans="2:4" x14ac:dyDescent="0.25">
      <c r="B12" s="9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8FEF-7CD5-49A8-83A8-67A4ED302F3A}">
  <sheetPr codeName="Planilha30">
    <tabColor rgb="FF00B050"/>
  </sheetPr>
  <dimension ref="A1:G20"/>
  <sheetViews>
    <sheetView workbookViewId="0">
      <selection activeCell="I14" sqref="I14"/>
    </sheetView>
  </sheetViews>
  <sheetFormatPr defaultRowHeight="15" x14ac:dyDescent="0.25"/>
  <cols>
    <col min="4" max="4" width="11.5703125" bestFit="1" customWidth="1"/>
    <col min="7" max="7" width="36.5703125" customWidth="1"/>
  </cols>
  <sheetData>
    <row r="1" spans="1:7" ht="21" x14ac:dyDescent="0.35">
      <c r="A1" s="141" t="s">
        <v>301</v>
      </c>
      <c r="B1" s="141"/>
      <c r="C1" s="141"/>
      <c r="D1" s="141"/>
      <c r="E1" s="141"/>
      <c r="F1" s="141"/>
      <c r="G1" s="141"/>
    </row>
    <row r="2" spans="1:7" x14ac:dyDescent="0.25">
      <c r="A2" s="4" t="s">
        <v>302</v>
      </c>
      <c r="B2" s="138"/>
      <c r="C2" s="138"/>
      <c r="D2" s="138"/>
      <c r="E2" s="138"/>
      <c r="F2" s="4" t="s">
        <v>300</v>
      </c>
      <c r="G2" s="2"/>
    </row>
    <row r="4" spans="1:7" x14ac:dyDescent="0.25">
      <c r="A4" s="96" t="s">
        <v>325</v>
      </c>
      <c r="B4" s="140" t="s">
        <v>303</v>
      </c>
      <c r="C4" s="140"/>
      <c r="D4" s="96" t="s">
        <v>304</v>
      </c>
      <c r="E4" s="140" t="s">
        <v>305</v>
      </c>
      <c r="F4" s="140"/>
      <c r="G4" s="96" t="s">
        <v>306</v>
      </c>
    </row>
    <row r="5" spans="1:7" x14ac:dyDescent="0.25">
      <c r="A5" s="6">
        <v>1</v>
      </c>
      <c r="B5" s="136" t="s">
        <v>307</v>
      </c>
      <c r="C5" s="136"/>
      <c r="D5" s="94">
        <v>500</v>
      </c>
      <c r="E5" s="139">
        <v>0.5</v>
      </c>
      <c r="F5" s="139"/>
      <c r="G5" s="95">
        <v>250</v>
      </c>
    </row>
    <row r="6" spans="1:7" x14ac:dyDescent="0.25">
      <c r="A6" s="6">
        <v>2</v>
      </c>
      <c r="B6" s="136" t="s">
        <v>308</v>
      </c>
      <c r="C6" s="136"/>
      <c r="D6" s="94" t="s">
        <v>309</v>
      </c>
      <c r="E6" s="139">
        <v>25</v>
      </c>
      <c r="F6" s="139"/>
      <c r="G6" s="95">
        <v>250</v>
      </c>
    </row>
    <row r="7" spans="1:7" x14ac:dyDescent="0.25">
      <c r="A7" s="6">
        <v>3</v>
      </c>
      <c r="B7" s="136" t="s">
        <v>310</v>
      </c>
      <c r="C7" s="136"/>
      <c r="D7" s="94" t="s">
        <v>311</v>
      </c>
      <c r="E7" s="139">
        <v>80</v>
      </c>
      <c r="F7" s="139"/>
      <c r="G7" s="95">
        <v>160</v>
      </c>
    </row>
    <row r="8" spans="1:7" x14ac:dyDescent="0.25">
      <c r="A8" s="6">
        <v>4</v>
      </c>
      <c r="B8" s="136" t="s">
        <v>312</v>
      </c>
      <c r="C8" s="136"/>
      <c r="D8" s="94" t="s">
        <v>313</v>
      </c>
      <c r="E8" s="139">
        <v>10</v>
      </c>
      <c r="F8" s="139"/>
      <c r="G8" s="95">
        <v>200</v>
      </c>
    </row>
    <row r="9" spans="1:7" x14ac:dyDescent="0.25">
      <c r="A9" s="6">
        <v>5</v>
      </c>
      <c r="B9" s="136" t="s">
        <v>314</v>
      </c>
      <c r="C9" s="136"/>
      <c r="D9" s="94">
        <v>100</v>
      </c>
      <c r="E9" s="139">
        <v>5</v>
      </c>
      <c r="F9" s="139"/>
      <c r="G9" s="95">
        <v>500</v>
      </c>
    </row>
    <row r="10" spans="1:7" x14ac:dyDescent="0.25">
      <c r="A10" s="6">
        <v>6</v>
      </c>
      <c r="B10" s="136" t="s">
        <v>315</v>
      </c>
      <c r="C10" s="136"/>
      <c r="D10" s="94" t="s">
        <v>316</v>
      </c>
      <c r="E10" s="139">
        <v>30</v>
      </c>
      <c r="F10" s="139"/>
      <c r="G10" s="95">
        <v>150</v>
      </c>
    </row>
    <row r="11" spans="1:7" x14ac:dyDescent="0.25">
      <c r="A11" s="6">
        <v>7</v>
      </c>
      <c r="B11" s="136" t="s">
        <v>317</v>
      </c>
      <c r="C11" s="136"/>
      <c r="D11" s="94" t="s">
        <v>318</v>
      </c>
      <c r="E11" s="139">
        <v>35</v>
      </c>
      <c r="F11" s="139"/>
      <c r="G11" s="95">
        <v>1750</v>
      </c>
    </row>
    <row r="12" spans="1:7" x14ac:dyDescent="0.25">
      <c r="A12" s="6">
        <v>8</v>
      </c>
      <c r="B12" s="136" t="s">
        <v>319</v>
      </c>
      <c r="C12" s="136"/>
      <c r="D12" s="94" t="s">
        <v>320</v>
      </c>
      <c r="E12" s="139">
        <v>200</v>
      </c>
      <c r="F12" s="139"/>
      <c r="G12" s="95">
        <v>1000</v>
      </c>
    </row>
    <row r="13" spans="1:7" x14ac:dyDescent="0.25">
      <c r="A13" s="6">
        <v>9</v>
      </c>
      <c r="B13" s="136" t="s">
        <v>321</v>
      </c>
      <c r="C13" s="136"/>
      <c r="D13" s="94" t="s">
        <v>322</v>
      </c>
      <c r="E13" s="139">
        <v>150</v>
      </c>
      <c r="F13" s="139"/>
      <c r="G13" s="95">
        <v>1500</v>
      </c>
    </row>
    <row r="14" spans="1:7" x14ac:dyDescent="0.25">
      <c r="A14" s="6">
        <v>10</v>
      </c>
      <c r="B14" s="136" t="s">
        <v>323</v>
      </c>
      <c r="C14" s="136"/>
      <c r="D14" s="94" t="s">
        <v>324</v>
      </c>
      <c r="E14" s="139">
        <v>8</v>
      </c>
      <c r="F14" s="139"/>
      <c r="G14" s="95">
        <v>160</v>
      </c>
    </row>
    <row r="16" spans="1:7" x14ac:dyDescent="0.25">
      <c r="A16" s="133"/>
      <c r="B16" s="134"/>
      <c r="C16" s="134"/>
      <c r="D16" s="134"/>
      <c r="E16" s="134"/>
      <c r="F16" s="134"/>
      <c r="G16" s="135"/>
    </row>
    <row r="18" spans="1:7" x14ac:dyDescent="0.25">
      <c r="A18" s="137" t="s">
        <v>326</v>
      </c>
      <c r="B18" s="137"/>
      <c r="C18" s="138"/>
      <c r="D18" s="138"/>
      <c r="E18" s="138"/>
      <c r="F18" s="138"/>
      <c r="G18" s="138"/>
    </row>
    <row r="20" spans="1:7" x14ac:dyDescent="0.25">
      <c r="A20" s="133"/>
      <c r="B20" s="134"/>
      <c r="C20" s="134"/>
      <c r="D20" s="134"/>
      <c r="E20" s="134"/>
      <c r="F20" s="134"/>
      <c r="G20" s="135"/>
    </row>
  </sheetData>
  <mergeCells count="28">
    <mergeCell ref="A1:G1"/>
    <mergeCell ref="B2:E2"/>
    <mergeCell ref="E4:F4"/>
    <mergeCell ref="E5:F5"/>
    <mergeCell ref="E6:F6"/>
    <mergeCell ref="B9:C9"/>
    <mergeCell ref="B10:C10"/>
    <mergeCell ref="B11:C11"/>
    <mergeCell ref="E7:F7"/>
    <mergeCell ref="E8:F8"/>
    <mergeCell ref="E9:F9"/>
    <mergeCell ref="E10:F10"/>
    <mergeCell ref="E11:F11"/>
    <mergeCell ref="B4:C4"/>
    <mergeCell ref="B5:C5"/>
    <mergeCell ref="B6:C6"/>
    <mergeCell ref="B7:C7"/>
    <mergeCell ref="B8:C8"/>
    <mergeCell ref="A20:G20"/>
    <mergeCell ref="A16:G16"/>
    <mergeCell ref="B12:C12"/>
    <mergeCell ref="B13:C13"/>
    <mergeCell ref="B14:C14"/>
    <mergeCell ref="A18:B18"/>
    <mergeCell ref="C18:G18"/>
    <mergeCell ref="E13:F13"/>
    <mergeCell ref="E14:F14"/>
    <mergeCell ref="E12:F1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76FCD-8DB3-4337-BCFD-B5E024733A24}">
  <sheetPr codeName="Planilha31">
    <tabColor rgb="FF00B050"/>
  </sheetPr>
  <dimension ref="A1:C12"/>
  <sheetViews>
    <sheetView workbookViewId="0">
      <selection activeCell="C12" sqref="A1:C12"/>
    </sheetView>
  </sheetViews>
  <sheetFormatPr defaultRowHeight="15" x14ac:dyDescent="0.25"/>
  <cols>
    <col min="1" max="1" width="9.85546875" customWidth="1"/>
    <col min="2" max="2" width="11" customWidth="1"/>
  </cols>
  <sheetData>
    <row r="1" spans="1:3" x14ac:dyDescent="0.25">
      <c r="A1" s="97" t="s">
        <v>327</v>
      </c>
      <c r="B1" s="97" t="s">
        <v>328</v>
      </c>
      <c r="C1" s="98" t="s">
        <v>329</v>
      </c>
    </row>
    <row r="2" spans="1:3" x14ac:dyDescent="0.25">
      <c r="A2" s="2">
        <v>5</v>
      </c>
      <c r="B2" s="2">
        <f>A2^2</f>
        <v>25</v>
      </c>
      <c r="C2" s="2">
        <f>RaizQuadrada(A2)</f>
        <v>2.2360679774997898</v>
      </c>
    </row>
    <row r="3" spans="1:3" x14ac:dyDescent="0.25">
      <c r="A3" s="2">
        <v>12</v>
      </c>
      <c r="B3" s="2">
        <f t="shared" ref="B3:B12" si="0">A3^2</f>
        <v>144</v>
      </c>
      <c r="C3" s="2">
        <f t="shared" ref="C3:C12" si="1">RaizQuadrada(A3)</f>
        <v>3.4641016151377544</v>
      </c>
    </row>
    <row r="4" spans="1:3" x14ac:dyDescent="0.25">
      <c r="A4" s="2">
        <v>345</v>
      </c>
      <c r="B4" s="2">
        <f t="shared" si="0"/>
        <v>119025</v>
      </c>
      <c r="C4" s="2">
        <f t="shared" si="1"/>
        <v>18.574175621006709</v>
      </c>
    </row>
    <row r="5" spans="1:3" x14ac:dyDescent="0.25">
      <c r="A5" s="2">
        <v>34</v>
      </c>
      <c r="B5" s="2">
        <f t="shared" si="0"/>
        <v>1156</v>
      </c>
      <c r="C5" s="2">
        <f t="shared" si="1"/>
        <v>5.8309518948453007</v>
      </c>
    </row>
    <row r="6" spans="1:3" x14ac:dyDescent="0.25">
      <c r="A6" s="2">
        <v>2423</v>
      </c>
      <c r="B6" s="2">
        <f t="shared" si="0"/>
        <v>5870929</v>
      </c>
      <c r="C6" s="2">
        <f t="shared" si="1"/>
        <v>49.223977896955873</v>
      </c>
    </row>
    <row r="7" spans="1:3" x14ac:dyDescent="0.25">
      <c r="A7" s="2">
        <v>4</v>
      </c>
      <c r="B7" s="2">
        <f t="shared" si="0"/>
        <v>16</v>
      </c>
      <c r="C7" s="2">
        <f t="shared" si="1"/>
        <v>2</v>
      </c>
    </row>
    <row r="8" spans="1:3" x14ac:dyDescent="0.25">
      <c r="A8" s="2">
        <v>21</v>
      </c>
      <c r="B8" s="2">
        <f t="shared" si="0"/>
        <v>441</v>
      </c>
      <c r="C8" s="2">
        <f t="shared" si="1"/>
        <v>4.5825756949558398</v>
      </c>
    </row>
    <row r="9" spans="1:3" x14ac:dyDescent="0.25">
      <c r="A9" s="2">
        <v>375</v>
      </c>
      <c r="B9" s="2">
        <f t="shared" si="0"/>
        <v>140625</v>
      </c>
      <c r="C9" s="2">
        <f t="shared" si="1"/>
        <v>19.364916731037084</v>
      </c>
    </row>
    <row r="10" spans="1:3" x14ac:dyDescent="0.25">
      <c r="A10" s="2">
        <v>314</v>
      </c>
      <c r="B10" s="2">
        <f t="shared" si="0"/>
        <v>98596</v>
      </c>
      <c r="C10" s="2">
        <f t="shared" si="1"/>
        <v>17.720045146669349</v>
      </c>
    </row>
    <row r="11" spans="1:3" x14ac:dyDescent="0.25">
      <c r="A11" s="2">
        <v>313</v>
      </c>
      <c r="B11" s="2">
        <f t="shared" si="0"/>
        <v>97969</v>
      </c>
      <c r="C11" s="2">
        <f t="shared" si="1"/>
        <v>17.691806012954132</v>
      </c>
    </row>
    <row r="12" spans="1:3" x14ac:dyDescent="0.25">
      <c r="A12" s="2">
        <v>9</v>
      </c>
      <c r="B12" s="2">
        <f t="shared" si="0"/>
        <v>81</v>
      </c>
      <c r="C12" s="2">
        <f t="shared" si="1"/>
        <v>3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BAB6E-355F-4EDA-A3C7-14FC857C41B4}">
  <sheetPr codeName="Planilha32">
    <tabColor rgb="FF00B050"/>
  </sheetPr>
  <dimension ref="A1:C12"/>
  <sheetViews>
    <sheetView workbookViewId="0">
      <selection activeCell="F14" sqref="F14"/>
    </sheetView>
  </sheetViews>
  <sheetFormatPr defaultRowHeight="15" x14ac:dyDescent="0.25"/>
  <cols>
    <col min="1" max="1" width="8.28515625" bestFit="1" customWidth="1"/>
    <col min="2" max="2" width="9.7109375" bestFit="1" customWidth="1"/>
    <col min="3" max="3" width="12" bestFit="1" customWidth="1"/>
  </cols>
  <sheetData>
    <row r="1" spans="1:3" x14ac:dyDescent="0.25">
      <c r="A1" s="97" t="s">
        <v>327</v>
      </c>
      <c r="B1" s="97" t="s">
        <v>328</v>
      </c>
      <c r="C1" s="98" t="s">
        <v>329</v>
      </c>
    </row>
    <row r="2" spans="1:3" x14ac:dyDescent="0.25">
      <c r="A2" s="2">
        <v>5</v>
      </c>
      <c r="B2" s="2">
        <f>A2^2</f>
        <v>25</v>
      </c>
      <c r="C2" s="2">
        <f>RaizQuadrada(A2)</f>
        <v>2.2360679774997898</v>
      </c>
    </row>
    <row r="3" spans="1:3" x14ac:dyDescent="0.25">
      <c r="A3" s="2">
        <v>12</v>
      </c>
      <c r="B3" s="2">
        <f t="shared" ref="B3:B12" si="0">A3^2</f>
        <v>144</v>
      </c>
      <c r="C3" s="2">
        <f t="shared" ref="C3:C12" si="1">RaizQuadrada(A3)</f>
        <v>3.4641016151377544</v>
      </c>
    </row>
    <row r="4" spans="1:3" x14ac:dyDescent="0.25">
      <c r="A4" s="2">
        <v>345</v>
      </c>
      <c r="B4" s="2">
        <f t="shared" si="0"/>
        <v>119025</v>
      </c>
      <c r="C4" s="2">
        <f t="shared" si="1"/>
        <v>18.574175621006709</v>
      </c>
    </row>
    <row r="5" spans="1:3" x14ac:dyDescent="0.25">
      <c r="A5" s="2">
        <v>34</v>
      </c>
      <c r="B5" s="2">
        <f t="shared" si="0"/>
        <v>1156</v>
      </c>
      <c r="C5" s="2">
        <f t="shared" si="1"/>
        <v>5.8309518948453007</v>
      </c>
    </row>
    <row r="6" spans="1:3" x14ac:dyDescent="0.25">
      <c r="A6" s="2">
        <v>2423</v>
      </c>
      <c r="B6" s="2">
        <f t="shared" si="0"/>
        <v>5870929</v>
      </c>
      <c r="C6" s="2">
        <f t="shared" si="1"/>
        <v>49.223977896955873</v>
      </c>
    </row>
    <row r="7" spans="1:3" x14ac:dyDescent="0.25">
      <c r="A7" s="2">
        <v>4</v>
      </c>
      <c r="B7" s="2">
        <f t="shared" si="0"/>
        <v>16</v>
      </c>
      <c r="C7" s="2">
        <f t="shared" si="1"/>
        <v>2</v>
      </c>
    </row>
    <row r="8" spans="1:3" x14ac:dyDescent="0.25">
      <c r="A8" s="2">
        <v>21</v>
      </c>
      <c r="B8" s="2">
        <f t="shared" si="0"/>
        <v>441</v>
      </c>
      <c r="C8" s="2">
        <f t="shared" si="1"/>
        <v>4.5825756949558398</v>
      </c>
    </row>
    <row r="9" spans="1:3" x14ac:dyDescent="0.25">
      <c r="A9" s="2">
        <v>375</v>
      </c>
      <c r="B9" s="2">
        <f t="shared" si="0"/>
        <v>140625</v>
      </c>
      <c r="C9" s="2">
        <f t="shared" si="1"/>
        <v>19.364916731037084</v>
      </c>
    </row>
    <row r="10" spans="1:3" x14ac:dyDescent="0.25">
      <c r="A10" s="2">
        <v>314</v>
      </c>
      <c r="B10" s="2">
        <f t="shared" si="0"/>
        <v>98596</v>
      </c>
      <c r="C10" s="2">
        <f t="shared" si="1"/>
        <v>17.720045146669349</v>
      </c>
    </row>
    <row r="11" spans="1:3" x14ac:dyDescent="0.25">
      <c r="A11" s="2">
        <v>313</v>
      </c>
      <c r="B11" s="2">
        <f t="shared" si="0"/>
        <v>97969</v>
      </c>
      <c r="C11" s="2">
        <f t="shared" si="1"/>
        <v>17.691806012954132</v>
      </c>
    </row>
    <row r="12" spans="1:3" x14ac:dyDescent="0.25">
      <c r="A12" s="2">
        <v>9</v>
      </c>
      <c r="B12" s="2">
        <f t="shared" si="0"/>
        <v>81</v>
      </c>
      <c r="C12" s="2">
        <f t="shared" si="1"/>
        <v>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List Box 1">
              <controlPr defaultSize="0" autoLine="0" autoPict="0">
                <anchor moveWithCells="1">
                  <from>
                    <xdr:col>4</xdr:col>
                    <xdr:colOff>600075</xdr:colOff>
                    <xdr:row>2</xdr:row>
                    <xdr:rowOff>0</xdr:rowOff>
                  </from>
                  <to>
                    <xdr:col>6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Drop Down 2">
              <controlPr defaultSize="0" autoLine="0" autoPict="0">
                <anchor moveWithCells="1">
                  <from>
                    <xdr:col>5</xdr:col>
                    <xdr:colOff>0</xdr:colOff>
                    <xdr:row>4</xdr:row>
                    <xdr:rowOff>180975</xdr:rowOff>
                  </from>
                  <to>
                    <xdr:col>6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E352-C235-410E-B26D-C2E707F9339D}">
  <sheetPr codeName="Planilha33">
    <tabColor rgb="FF00B050"/>
  </sheetPr>
  <dimension ref="A1:D12"/>
  <sheetViews>
    <sheetView workbookViewId="0">
      <selection activeCell="G14" sqref="A1:G14"/>
    </sheetView>
  </sheetViews>
  <sheetFormatPr defaultRowHeight="15" x14ac:dyDescent="0.25"/>
  <cols>
    <col min="1" max="1" width="8.28515625" bestFit="1" customWidth="1"/>
    <col min="2" max="2" width="9.7109375" bestFit="1" customWidth="1"/>
    <col min="3" max="3" width="12" bestFit="1" customWidth="1"/>
  </cols>
  <sheetData>
    <row r="1" spans="1:4" x14ac:dyDescent="0.25">
      <c r="A1" s="97" t="s">
        <v>327</v>
      </c>
      <c r="B1" s="97" t="s">
        <v>328</v>
      </c>
      <c r="C1" s="98" t="s">
        <v>329</v>
      </c>
      <c r="D1">
        <v>0</v>
      </c>
    </row>
    <row r="2" spans="1:4" x14ac:dyDescent="0.25">
      <c r="A2" s="2">
        <v>5</v>
      </c>
      <c r="B2" s="2">
        <f>A2^2</f>
        <v>25</v>
      </c>
      <c r="C2" s="2">
        <f>RaizQuadrada(A2)</f>
        <v>2.2360679774997898</v>
      </c>
      <c r="D2">
        <v>0</v>
      </c>
    </row>
    <row r="3" spans="1:4" x14ac:dyDescent="0.25">
      <c r="A3" s="2">
        <v>12</v>
      </c>
      <c r="B3" s="2">
        <f t="shared" ref="B3:B12" si="0">A3^2</f>
        <v>144</v>
      </c>
      <c r="C3" s="2">
        <f t="shared" ref="C3:C12" si="1">RaizQuadrada(A3)</f>
        <v>3.4641016151377544</v>
      </c>
      <c r="D3">
        <v>0</v>
      </c>
    </row>
    <row r="4" spans="1:4" x14ac:dyDescent="0.25">
      <c r="A4" s="2">
        <v>345</v>
      </c>
      <c r="B4" s="2">
        <f t="shared" si="0"/>
        <v>119025</v>
      </c>
      <c r="C4" s="2">
        <f t="shared" si="1"/>
        <v>18.574175621006709</v>
      </c>
      <c r="D4">
        <v>0</v>
      </c>
    </row>
    <row r="5" spans="1:4" x14ac:dyDescent="0.25">
      <c r="A5" s="2">
        <v>34</v>
      </c>
      <c r="B5" s="2">
        <f t="shared" si="0"/>
        <v>1156</v>
      </c>
      <c r="C5" s="2">
        <f t="shared" si="1"/>
        <v>5.8309518948453007</v>
      </c>
    </row>
    <row r="6" spans="1:4" x14ac:dyDescent="0.25">
      <c r="A6" s="2">
        <v>2423</v>
      </c>
      <c r="B6" s="2">
        <f t="shared" si="0"/>
        <v>5870929</v>
      </c>
      <c r="C6" s="2">
        <f t="shared" si="1"/>
        <v>49.223977896955873</v>
      </c>
      <c r="D6">
        <v>0</v>
      </c>
    </row>
    <row r="7" spans="1:4" x14ac:dyDescent="0.25">
      <c r="A7" s="2">
        <v>4</v>
      </c>
      <c r="B7" s="2">
        <f t="shared" si="0"/>
        <v>16</v>
      </c>
      <c r="C7" s="2">
        <f t="shared" si="1"/>
        <v>2</v>
      </c>
      <c r="D7">
        <v>0</v>
      </c>
    </row>
    <row r="8" spans="1:4" x14ac:dyDescent="0.25">
      <c r="A8" s="2">
        <v>21</v>
      </c>
      <c r="B8" s="2">
        <f t="shared" si="0"/>
        <v>441</v>
      </c>
      <c r="C8" s="2">
        <f t="shared" si="1"/>
        <v>4.5825756949558398</v>
      </c>
      <c r="D8">
        <v>0</v>
      </c>
    </row>
    <row r="9" spans="1:4" x14ac:dyDescent="0.25">
      <c r="A9" s="2">
        <v>375</v>
      </c>
      <c r="B9" s="2">
        <f t="shared" si="0"/>
        <v>140625</v>
      </c>
      <c r="C9" s="2">
        <f t="shared" si="1"/>
        <v>19.364916731037084</v>
      </c>
      <c r="D9">
        <v>0</v>
      </c>
    </row>
    <row r="10" spans="1:4" x14ac:dyDescent="0.25">
      <c r="A10" s="2">
        <v>314</v>
      </c>
      <c r="B10" s="2">
        <f t="shared" si="0"/>
        <v>98596</v>
      </c>
      <c r="C10" s="2">
        <f t="shared" si="1"/>
        <v>17.720045146669349</v>
      </c>
    </row>
    <row r="11" spans="1:4" x14ac:dyDescent="0.25">
      <c r="A11" s="2">
        <v>313</v>
      </c>
      <c r="B11" s="2">
        <f t="shared" si="0"/>
        <v>97969</v>
      </c>
      <c r="C11" s="2">
        <f t="shared" si="1"/>
        <v>17.691806012954132</v>
      </c>
    </row>
    <row r="12" spans="1:4" x14ac:dyDescent="0.25">
      <c r="A12" s="2">
        <v>9</v>
      </c>
      <c r="B12" s="2">
        <f t="shared" si="0"/>
        <v>81</v>
      </c>
      <c r="C12" s="2">
        <f t="shared" si="1"/>
        <v>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autoPict="0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7" name="Scroll Bar 10">
              <controlPr defaultSize="0" autoPict="0">
                <anchor moveWithCells="1">
                  <from>
                    <xdr:col>0</xdr:col>
                    <xdr:colOff>0</xdr:colOff>
                    <xdr:row>12</xdr:row>
                    <xdr:rowOff>9525</xdr:rowOff>
                  </from>
                  <to>
                    <xdr:col>6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8" name="Spinner 11">
              <controlPr defaultSize="0" autoPict="0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Spinner 12">
              <controlPr defaultSize="0" autoPict="0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Spinner 13">
              <controlPr defaultSize="0" autoPict="0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Spinner 14">
              <controlPr defaultSize="0" autoPict="0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Scroll Bar 15">
              <controlPr defaultSize="0" autoPict="0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3" name="Drop Down 16">
              <controlPr defaultSize="0" autoLine="0" autoPict="0">
                <anchor moveWithCells="1">
                  <from>
                    <xdr:col>4</xdr:col>
                    <xdr:colOff>0</xdr:colOff>
                    <xdr:row>9</xdr:row>
                    <xdr:rowOff>180975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66DA-3125-4FED-BC12-00ED1527678F}">
  <sheetPr codeName="Planilha34">
    <tabColor rgb="FF00B050"/>
  </sheetPr>
  <dimension ref="A1:D12"/>
  <sheetViews>
    <sheetView workbookViewId="0">
      <selection activeCell="C16" sqref="C16"/>
    </sheetView>
  </sheetViews>
  <sheetFormatPr defaultRowHeight="15" x14ac:dyDescent="0.25"/>
  <sheetData>
    <row r="1" spans="1:4" x14ac:dyDescent="0.25">
      <c r="A1" s="97" t="s">
        <v>327</v>
      </c>
      <c r="B1" s="97" t="s">
        <v>328</v>
      </c>
      <c r="C1" s="98" t="s">
        <v>329</v>
      </c>
      <c r="D1">
        <v>0</v>
      </c>
    </row>
    <row r="2" spans="1:4" x14ac:dyDescent="0.25">
      <c r="A2" s="2">
        <v>5</v>
      </c>
      <c r="B2" s="2">
        <f>A2^2</f>
        <v>25</v>
      </c>
      <c r="C2" s="2">
        <f>RaizQuadrada(A2)</f>
        <v>2.2360679774997898</v>
      </c>
      <c r="D2">
        <v>0</v>
      </c>
    </row>
    <row r="3" spans="1:4" x14ac:dyDescent="0.25">
      <c r="A3" s="2">
        <v>12</v>
      </c>
      <c r="B3" s="2">
        <f t="shared" ref="B3:B12" si="0">A3^2</f>
        <v>144</v>
      </c>
      <c r="C3" s="2">
        <f t="shared" ref="C3:C12" si="1">RaizQuadrada(A3)</f>
        <v>3.4641016151377544</v>
      </c>
      <c r="D3">
        <v>0</v>
      </c>
    </row>
    <row r="4" spans="1:4" x14ac:dyDescent="0.25">
      <c r="A4" s="2">
        <v>345</v>
      </c>
      <c r="B4" s="2">
        <f t="shared" si="0"/>
        <v>119025</v>
      </c>
      <c r="C4" s="2">
        <f t="shared" si="1"/>
        <v>18.574175621006709</v>
      </c>
      <c r="D4">
        <v>0</v>
      </c>
    </row>
    <row r="5" spans="1:4" x14ac:dyDescent="0.25">
      <c r="A5" s="2">
        <v>34</v>
      </c>
      <c r="B5" s="2">
        <f t="shared" si="0"/>
        <v>1156</v>
      </c>
      <c r="C5" s="2">
        <f t="shared" si="1"/>
        <v>5.8309518948453007</v>
      </c>
    </row>
    <row r="6" spans="1:4" x14ac:dyDescent="0.25">
      <c r="A6" s="2">
        <v>2423</v>
      </c>
      <c r="B6" s="2">
        <f t="shared" si="0"/>
        <v>5870929</v>
      </c>
      <c r="C6" s="2">
        <f t="shared" si="1"/>
        <v>49.223977896955873</v>
      </c>
      <c r="D6">
        <v>0</v>
      </c>
    </row>
    <row r="7" spans="1:4" x14ac:dyDescent="0.25">
      <c r="A7" s="2">
        <v>4</v>
      </c>
      <c r="B7" s="2">
        <f t="shared" si="0"/>
        <v>16</v>
      </c>
      <c r="C7" s="2">
        <f t="shared" si="1"/>
        <v>2</v>
      </c>
      <c r="D7">
        <v>0</v>
      </c>
    </row>
    <row r="8" spans="1:4" x14ac:dyDescent="0.25">
      <c r="A8" s="2">
        <v>21</v>
      </c>
      <c r="B8" s="2">
        <f t="shared" si="0"/>
        <v>441</v>
      </c>
      <c r="C8" s="2">
        <f t="shared" si="1"/>
        <v>4.5825756949558398</v>
      </c>
      <c r="D8">
        <v>0</v>
      </c>
    </row>
    <row r="9" spans="1:4" x14ac:dyDescent="0.25">
      <c r="A9" s="2">
        <v>375</v>
      </c>
      <c r="B9" s="2">
        <f t="shared" si="0"/>
        <v>140625</v>
      </c>
      <c r="C9" s="2">
        <f t="shared" si="1"/>
        <v>19.364916731037084</v>
      </c>
      <c r="D9">
        <v>0</v>
      </c>
    </row>
    <row r="10" spans="1:4" x14ac:dyDescent="0.25">
      <c r="A10" s="2">
        <v>314</v>
      </c>
      <c r="B10" s="2">
        <f t="shared" si="0"/>
        <v>98596</v>
      </c>
      <c r="C10" s="2">
        <f t="shared" si="1"/>
        <v>17.720045146669349</v>
      </c>
    </row>
    <row r="11" spans="1:4" x14ac:dyDescent="0.25">
      <c r="A11" s="2">
        <v>313</v>
      </c>
      <c r="B11" s="2">
        <f t="shared" si="0"/>
        <v>97969</v>
      </c>
      <c r="C11" s="2">
        <f t="shared" si="1"/>
        <v>17.691806012954132</v>
      </c>
    </row>
    <row r="12" spans="1:4" x14ac:dyDescent="0.25">
      <c r="A12" s="2">
        <v>9</v>
      </c>
      <c r="B12" s="2">
        <f t="shared" si="0"/>
        <v>81</v>
      </c>
      <c r="C12" s="2">
        <f t="shared" si="1"/>
        <v>3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pinner 1">
              <controlPr defaultSize="0" autoPict="0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pinner 2">
              <controlPr defaultSize="0" autoPict="0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Spinner 3">
              <controlPr defaultSize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pinner 4">
              <controlPr defaultSize="0" autoPict="0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Scroll Bar 5">
              <controlPr defaultSize="0" autoPict="0">
                <anchor moveWithCells="1">
                  <from>
                    <xdr:col>0</xdr:col>
                    <xdr:colOff>0</xdr:colOff>
                    <xdr:row>12</xdr:row>
                    <xdr:rowOff>9525</xdr:rowOff>
                  </from>
                  <to>
                    <xdr:col>6</xdr:col>
                    <xdr:colOff>180975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Spinner 6">
              <controlPr defaultSize="0" autoPict="0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Spinner 7">
              <controlPr defaultSize="0" autoPict="0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Spinner 8">
              <controlPr defaultSize="0" autoPict="0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Spinner 9">
              <controlPr defaultSize="0" autoPict="0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Scroll Bar 10">
              <controlPr defaultSize="0" autoPict="0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Drop Down 11">
              <controlPr defaultSize="0" autoLine="0" autoPict="0">
                <anchor moveWithCells="1">
                  <from>
                    <xdr:col>4</xdr:col>
                    <xdr:colOff>0</xdr:colOff>
                    <xdr:row>9</xdr:row>
                    <xdr:rowOff>180975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MinhaMacro">
                <anchor moveWithCells="1" sizeWithCells="1">
                  <from>
                    <xdr:col>0</xdr:col>
                    <xdr:colOff>19050</xdr:colOff>
                    <xdr:row>14</xdr:row>
                    <xdr:rowOff>19050</xdr:rowOff>
                  </from>
                  <to>
                    <xdr:col>1</xdr:col>
                    <xdr:colOff>47625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F686-964C-4E67-9DE4-3C5CDA360ACC}">
  <sheetPr codeName="Planilha35">
    <tabColor rgb="FF00B050"/>
  </sheetPr>
  <dimension ref="A1:B13"/>
  <sheetViews>
    <sheetView workbookViewId="0">
      <selection activeCell="A13" sqref="A1:D13"/>
    </sheetView>
  </sheetViews>
  <sheetFormatPr defaultRowHeight="15" x14ac:dyDescent="0.25"/>
  <cols>
    <col min="1" max="1" width="17" bestFit="1" customWidth="1"/>
    <col min="2" max="2" width="12.5703125" bestFit="1" customWidth="1"/>
  </cols>
  <sheetData>
    <row r="1" spans="1:2" x14ac:dyDescent="0.25">
      <c r="A1" s="144" t="s">
        <v>330</v>
      </c>
      <c r="B1" s="144" t="s">
        <v>331</v>
      </c>
    </row>
    <row r="2" spans="1:2" x14ac:dyDescent="0.25">
      <c r="A2" s="2" t="s">
        <v>332</v>
      </c>
      <c r="B2" s="143">
        <v>1500</v>
      </c>
    </row>
    <row r="3" spans="1:2" x14ac:dyDescent="0.25">
      <c r="A3" s="2" t="s">
        <v>333</v>
      </c>
      <c r="B3" s="143">
        <v>200</v>
      </c>
    </row>
    <row r="4" spans="1:2" x14ac:dyDescent="0.25">
      <c r="A4" s="2" t="s">
        <v>334</v>
      </c>
      <c r="B4" s="143">
        <v>100</v>
      </c>
    </row>
    <row r="5" spans="1:2" x14ac:dyDescent="0.25">
      <c r="A5" s="2" t="s">
        <v>335</v>
      </c>
      <c r="B5" s="143">
        <v>80</v>
      </c>
    </row>
    <row r="6" spans="1:2" x14ac:dyDescent="0.25">
      <c r="A6" s="2" t="s">
        <v>336</v>
      </c>
      <c r="B6" s="143">
        <v>300</v>
      </c>
    </row>
    <row r="7" spans="1:2" x14ac:dyDescent="0.25">
      <c r="A7" s="2" t="s">
        <v>337</v>
      </c>
      <c r="B7" s="143">
        <v>600</v>
      </c>
    </row>
    <row r="8" spans="1:2" x14ac:dyDescent="0.25">
      <c r="A8" s="2" t="s">
        <v>338</v>
      </c>
      <c r="B8" s="143">
        <v>200</v>
      </c>
    </row>
    <row r="9" spans="1:2" x14ac:dyDescent="0.25">
      <c r="A9" s="2" t="s">
        <v>339</v>
      </c>
      <c r="B9" s="143">
        <v>200</v>
      </c>
    </row>
    <row r="10" spans="1:2" x14ac:dyDescent="0.25">
      <c r="A10" s="2" t="s">
        <v>340</v>
      </c>
      <c r="B10" s="143">
        <v>500</v>
      </c>
    </row>
    <row r="11" spans="1:2" x14ac:dyDescent="0.25">
      <c r="A11" s="2" t="s">
        <v>341</v>
      </c>
      <c r="B11" s="143">
        <v>250</v>
      </c>
    </row>
    <row r="13" spans="1:2" x14ac:dyDescent="0.25">
      <c r="A13" s="23" t="s">
        <v>342</v>
      </c>
      <c r="B13" s="142">
        <v>3930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tualizarDespesas">
                <anchor moveWithCells="1" sizeWithCells="1">
                  <from>
                    <xdr:col>3</xdr:col>
                    <xdr:colOff>0</xdr:colOff>
                    <xdr:row>11</xdr:row>
                    <xdr:rowOff>180975</xdr:rowOff>
                  </from>
                  <to>
                    <xdr:col>3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45BE6-A6B8-4444-8357-811A8B28AD84}">
  <sheetPr codeName="Planilha36">
    <tabColor rgb="FF00B050"/>
  </sheetPr>
  <dimension ref="A1:I13"/>
  <sheetViews>
    <sheetView workbookViewId="0">
      <selection activeCell="A13" sqref="A1:I13"/>
    </sheetView>
  </sheetViews>
  <sheetFormatPr defaultRowHeight="15" x14ac:dyDescent="0.25"/>
  <cols>
    <col min="1" max="1" width="17" bestFit="1" customWidth="1"/>
    <col min="2" max="2" width="12.7109375" bestFit="1" customWidth="1"/>
    <col min="6" max="6" width="10.7109375" bestFit="1" customWidth="1"/>
    <col min="7" max="7" width="21.140625" bestFit="1" customWidth="1"/>
    <col min="8" max="8" width="9.42578125" bestFit="1" customWidth="1"/>
    <col min="9" max="9" width="12.140625" bestFit="1" customWidth="1"/>
  </cols>
  <sheetData>
    <row r="1" spans="1:9" x14ac:dyDescent="0.25">
      <c r="A1" s="144" t="s">
        <v>330</v>
      </c>
      <c r="B1" s="144" t="s">
        <v>331</v>
      </c>
      <c r="F1" s="144" t="s">
        <v>80</v>
      </c>
      <c r="G1" s="144" t="s">
        <v>343</v>
      </c>
      <c r="H1" s="144" t="s">
        <v>344</v>
      </c>
      <c r="I1" s="144" t="s">
        <v>345</v>
      </c>
    </row>
    <row r="2" spans="1:9" x14ac:dyDescent="0.25">
      <c r="A2" s="2" t="s">
        <v>332</v>
      </c>
      <c r="B2" s="143">
        <v>1500</v>
      </c>
      <c r="F2" s="5">
        <v>45047</v>
      </c>
      <c r="G2" s="2" t="s">
        <v>198</v>
      </c>
      <c r="H2" s="2" t="s">
        <v>346</v>
      </c>
      <c r="I2" s="3">
        <v>3000</v>
      </c>
    </row>
    <row r="3" spans="1:9" x14ac:dyDescent="0.25">
      <c r="A3" s="2" t="s">
        <v>333</v>
      </c>
      <c r="B3" s="143">
        <v>200</v>
      </c>
      <c r="F3" s="5">
        <v>45051</v>
      </c>
      <c r="G3" s="2" t="s">
        <v>347</v>
      </c>
      <c r="H3" s="2" t="s">
        <v>346</v>
      </c>
      <c r="I3" s="3">
        <v>500</v>
      </c>
    </row>
    <row r="4" spans="1:9" x14ac:dyDescent="0.25">
      <c r="A4" s="2" t="s">
        <v>334</v>
      </c>
      <c r="B4" s="143">
        <v>100</v>
      </c>
      <c r="F4" s="5">
        <v>45056</v>
      </c>
      <c r="G4" s="2" t="s">
        <v>348</v>
      </c>
      <c r="H4" s="2" t="s">
        <v>346</v>
      </c>
      <c r="I4" s="3">
        <v>1000</v>
      </c>
    </row>
    <row r="5" spans="1:9" x14ac:dyDescent="0.25">
      <c r="A5" s="2" t="s">
        <v>335</v>
      </c>
      <c r="B5" s="143">
        <v>80</v>
      </c>
      <c r="F5" s="5">
        <v>45061</v>
      </c>
      <c r="G5" s="2" t="s">
        <v>349</v>
      </c>
      <c r="H5" s="2" t="s">
        <v>346</v>
      </c>
      <c r="I5" s="3">
        <v>200</v>
      </c>
    </row>
    <row r="6" spans="1:9" x14ac:dyDescent="0.25">
      <c r="A6" s="2" t="s">
        <v>336</v>
      </c>
      <c r="B6" s="143">
        <v>300</v>
      </c>
      <c r="F6" s="5">
        <v>45066</v>
      </c>
      <c r="G6" s="2" t="s">
        <v>350</v>
      </c>
      <c r="H6" s="2" t="s">
        <v>346</v>
      </c>
      <c r="I6" s="3">
        <v>250</v>
      </c>
    </row>
    <row r="7" spans="1:9" x14ac:dyDescent="0.25">
      <c r="A7" s="2" t="s">
        <v>337</v>
      </c>
      <c r="B7" s="143">
        <v>600</v>
      </c>
      <c r="I7" s="145">
        <f>SUM(I2:I6)</f>
        <v>4950</v>
      </c>
    </row>
    <row r="8" spans="1:9" x14ac:dyDescent="0.25">
      <c r="A8" s="2" t="s">
        <v>338</v>
      </c>
      <c r="B8" s="143">
        <v>200</v>
      </c>
    </row>
    <row r="9" spans="1:9" x14ac:dyDescent="0.25">
      <c r="A9" s="2" t="s">
        <v>339</v>
      </c>
      <c r="B9" s="143">
        <v>200</v>
      </c>
    </row>
    <row r="10" spans="1:9" x14ac:dyDescent="0.25">
      <c r="A10" s="2" t="s">
        <v>340</v>
      </c>
      <c r="B10" s="143">
        <v>500</v>
      </c>
    </row>
    <row r="11" spans="1:9" x14ac:dyDescent="0.25">
      <c r="A11" s="2" t="s">
        <v>341</v>
      </c>
      <c r="B11" s="143">
        <v>250</v>
      </c>
    </row>
    <row r="13" spans="1:9" x14ac:dyDescent="0.25">
      <c r="A13" s="23" t="s">
        <v>342</v>
      </c>
      <c r="B13" s="142">
        <v>3930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tualizarDespesas">
                <anchor moveWithCells="1" sizeWithCells="1">
                  <from>
                    <xdr:col>3</xdr:col>
                    <xdr:colOff>0</xdr:colOff>
                    <xdr:row>11</xdr:row>
                    <xdr:rowOff>180975</xdr:rowOff>
                  </from>
                  <to>
                    <xdr:col>3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9C55E-66F6-4E13-B4E3-ECED2730D2E6}">
  <sheetPr codeName="Planilha37">
    <tabColor rgb="FF00B050"/>
  </sheetPr>
  <dimension ref="A1:I15"/>
  <sheetViews>
    <sheetView workbookViewId="0">
      <selection activeCell="K10" sqref="K10"/>
    </sheetView>
  </sheetViews>
  <sheetFormatPr defaultRowHeight="15" x14ac:dyDescent="0.25"/>
  <cols>
    <col min="1" max="1" width="17" bestFit="1" customWidth="1"/>
    <col min="2" max="2" width="12.7109375" bestFit="1" customWidth="1"/>
    <col min="6" max="6" width="10.7109375" bestFit="1" customWidth="1"/>
    <col min="7" max="7" width="21.140625" bestFit="1" customWidth="1"/>
    <col min="8" max="8" width="15.28515625" bestFit="1" customWidth="1"/>
    <col min="9" max="9" width="12.140625" bestFit="1" customWidth="1"/>
  </cols>
  <sheetData>
    <row r="1" spans="1:9" x14ac:dyDescent="0.25">
      <c r="A1" s="144" t="s">
        <v>330</v>
      </c>
      <c r="B1" s="144" t="s">
        <v>331</v>
      </c>
      <c r="F1" s="144" t="s">
        <v>80</v>
      </c>
      <c r="G1" s="144" t="s">
        <v>343</v>
      </c>
      <c r="H1" s="144" t="s">
        <v>344</v>
      </c>
      <c r="I1" s="144" t="s">
        <v>345</v>
      </c>
    </row>
    <row r="2" spans="1:9" x14ac:dyDescent="0.25">
      <c r="A2" s="2" t="s">
        <v>332</v>
      </c>
      <c r="B2" s="143">
        <v>1500</v>
      </c>
      <c r="F2" s="5">
        <v>45047</v>
      </c>
      <c r="G2" s="2" t="s">
        <v>198</v>
      </c>
      <c r="H2" s="2" t="s">
        <v>346</v>
      </c>
      <c r="I2" s="3">
        <v>3000</v>
      </c>
    </row>
    <row r="3" spans="1:9" x14ac:dyDescent="0.25">
      <c r="A3" s="2" t="s">
        <v>333</v>
      </c>
      <c r="B3" s="143">
        <v>200</v>
      </c>
      <c r="F3" s="5">
        <v>45051</v>
      </c>
      <c r="G3" s="2" t="s">
        <v>347</v>
      </c>
      <c r="H3" s="2" t="s">
        <v>346</v>
      </c>
      <c r="I3" s="3">
        <v>500</v>
      </c>
    </row>
    <row r="4" spans="1:9" x14ac:dyDescent="0.25">
      <c r="A4" s="2" t="s">
        <v>334</v>
      </c>
      <c r="B4" s="143">
        <v>100</v>
      </c>
      <c r="F4" s="5">
        <v>45056</v>
      </c>
      <c r="G4" s="2" t="s">
        <v>348</v>
      </c>
      <c r="H4" s="2" t="s">
        <v>346</v>
      </c>
      <c r="I4" s="3">
        <v>1000</v>
      </c>
    </row>
    <row r="5" spans="1:9" x14ac:dyDescent="0.25">
      <c r="A5" s="2" t="s">
        <v>335</v>
      </c>
      <c r="B5" s="143">
        <v>80</v>
      </c>
      <c r="F5" s="5">
        <v>45061</v>
      </c>
      <c r="G5" s="2" t="s">
        <v>349</v>
      </c>
      <c r="H5" s="2" t="s">
        <v>346</v>
      </c>
      <c r="I5" s="3">
        <v>200</v>
      </c>
    </row>
    <row r="6" spans="1:9" x14ac:dyDescent="0.25">
      <c r="A6" s="2" t="s">
        <v>336</v>
      </c>
      <c r="B6" s="143">
        <v>300</v>
      </c>
      <c r="F6" s="5">
        <v>45066</v>
      </c>
      <c r="G6" s="2" t="s">
        <v>350</v>
      </c>
      <c r="H6" s="2" t="s">
        <v>346</v>
      </c>
      <c r="I6" s="3">
        <v>250</v>
      </c>
    </row>
    <row r="7" spans="1:9" x14ac:dyDescent="0.25">
      <c r="A7" s="2" t="s">
        <v>337</v>
      </c>
      <c r="B7" s="143">
        <v>600</v>
      </c>
      <c r="F7" s="148" t="s">
        <v>357</v>
      </c>
      <c r="G7" s="146"/>
      <c r="H7" s="146"/>
      <c r="I7" s="147">
        <f>SUM(I2:I6)</f>
        <v>4950</v>
      </c>
    </row>
    <row r="8" spans="1:9" x14ac:dyDescent="0.25">
      <c r="A8" s="2" t="s">
        <v>338</v>
      </c>
      <c r="B8" s="143">
        <v>200</v>
      </c>
    </row>
    <row r="9" spans="1:9" x14ac:dyDescent="0.25">
      <c r="A9" s="2" t="s">
        <v>339</v>
      </c>
      <c r="B9" s="143">
        <v>200</v>
      </c>
      <c r="F9" s="144" t="s">
        <v>80</v>
      </c>
      <c r="G9" s="144" t="s">
        <v>343</v>
      </c>
      <c r="H9" s="144" t="s">
        <v>344</v>
      </c>
      <c r="I9" s="144" t="s">
        <v>345</v>
      </c>
    </row>
    <row r="10" spans="1:9" x14ac:dyDescent="0.25">
      <c r="A10" s="2" t="s">
        <v>340</v>
      </c>
      <c r="B10" s="143">
        <v>500</v>
      </c>
      <c r="F10" s="5">
        <v>45047</v>
      </c>
      <c r="G10" s="2" t="s">
        <v>332</v>
      </c>
      <c r="H10" s="2" t="s">
        <v>351</v>
      </c>
      <c r="I10" s="3">
        <v>800</v>
      </c>
    </row>
    <row r="11" spans="1:9" x14ac:dyDescent="0.25">
      <c r="A11" s="2" t="s">
        <v>341</v>
      </c>
      <c r="B11" s="143">
        <v>250</v>
      </c>
      <c r="F11" s="5">
        <v>45051</v>
      </c>
      <c r="G11" s="2" t="s">
        <v>352</v>
      </c>
      <c r="H11" s="2" t="s">
        <v>337</v>
      </c>
      <c r="I11" s="3">
        <v>200</v>
      </c>
    </row>
    <row r="12" spans="1:9" x14ac:dyDescent="0.25">
      <c r="F12" s="5">
        <v>45056</v>
      </c>
      <c r="G12" s="2" t="s">
        <v>353</v>
      </c>
      <c r="H12" s="2" t="s">
        <v>354</v>
      </c>
      <c r="I12" s="3">
        <v>100</v>
      </c>
    </row>
    <row r="13" spans="1:9" x14ac:dyDescent="0.25">
      <c r="A13" s="148" t="s">
        <v>342</v>
      </c>
      <c r="B13" s="149">
        <v>3930</v>
      </c>
      <c r="F13" s="5">
        <v>45061</v>
      </c>
      <c r="G13" s="2" t="s">
        <v>338</v>
      </c>
      <c r="H13" s="2" t="s">
        <v>355</v>
      </c>
      <c r="I13" s="3">
        <v>50</v>
      </c>
    </row>
    <row r="14" spans="1:9" x14ac:dyDescent="0.25">
      <c r="F14" s="5">
        <v>45066</v>
      </c>
      <c r="G14" s="2" t="s">
        <v>336</v>
      </c>
      <c r="H14" s="2" t="s">
        <v>336</v>
      </c>
      <c r="I14" s="3">
        <v>100</v>
      </c>
    </row>
    <row r="15" spans="1:9" x14ac:dyDescent="0.25">
      <c r="A15" s="151" t="s">
        <v>358</v>
      </c>
      <c r="B15" s="152"/>
      <c r="F15" s="148" t="s">
        <v>356</v>
      </c>
      <c r="G15" s="150"/>
      <c r="H15" s="150"/>
      <c r="I15" s="147">
        <f>SUM(I10:I14)</f>
        <v>1250</v>
      </c>
    </row>
  </sheetData>
  <mergeCells count="1">
    <mergeCell ref="A15:B1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tualizarDespesas">
                <anchor moveWithCells="1" sizeWithCells="1">
                  <from>
                    <xdr:col>3</xdr:col>
                    <xdr:colOff>0</xdr:colOff>
                    <xdr:row>11</xdr:row>
                    <xdr:rowOff>180975</xdr:rowOff>
                  </from>
                  <to>
                    <xdr:col>3</xdr:col>
                    <xdr:colOff>600075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1C3D0-AF08-43AD-BFEA-4239B578AA03}">
  <sheetPr codeName="Planilha38">
    <tabColor rgb="FF00B050"/>
  </sheetPr>
  <dimension ref="A1:J15"/>
  <sheetViews>
    <sheetView workbookViewId="0">
      <selection activeCell="H21" sqref="H21"/>
    </sheetView>
  </sheetViews>
  <sheetFormatPr defaultRowHeight="15" x14ac:dyDescent="0.25"/>
  <cols>
    <col min="1" max="1" width="15" bestFit="1" customWidth="1"/>
    <col min="2" max="2" width="13.42578125" bestFit="1" customWidth="1"/>
    <col min="3" max="3" width="17.42578125" bestFit="1" customWidth="1"/>
    <col min="4" max="4" width="8.5703125" bestFit="1" customWidth="1"/>
    <col min="5" max="5" width="6.42578125" bestFit="1" customWidth="1"/>
    <col min="6" max="6" width="16.7109375" bestFit="1" customWidth="1"/>
    <col min="8" max="8" width="18" bestFit="1" customWidth="1"/>
    <col min="9" max="9" width="25.7109375" bestFit="1" customWidth="1"/>
    <col min="10" max="10" width="25" bestFit="1" customWidth="1"/>
    <col min="11" max="15" width="3" bestFit="1" customWidth="1"/>
    <col min="16" max="16" width="4" bestFit="1" customWidth="1"/>
    <col min="17" max="17" width="10.7109375" bestFit="1" customWidth="1"/>
    <col min="18" max="18" width="4" bestFit="1" customWidth="1"/>
    <col min="19" max="19" width="10.7109375" bestFit="1" customWidth="1"/>
    <col min="20" max="20" width="4.85546875" bestFit="1" customWidth="1"/>
    <col min="21" max="21" width="3" bestFit="1" customWidth="1"/>
    <col min="22" max="22" width="7.85546875" bestFit="1" customWidth="1"/>
    <col min="23" max="23" width="4.85546875" bestFit="1" customWidth="1"/>
    <col min="24" max="24" width="7.85546875" bestFit="1" customWidth="1"/>
    <col min="25" max="25" width="5.85546875" bestFit="1" customWidth="1"/>
    <col min="26" max="26" width="8.85546875" bestFit="1" customWidth="1"/>
    <col min="27" max="27" width="10.7109375" bestFit="1" customWidth="1"/>
  </cols>
  <sheetData>
    <row r="1" spans="1:10" x14ac:dyDescent="0.25">
      <c r="A1" s="144" t="s">
        <v>303</v>
      </c>
      <c r="B1" s="144" t="s">
        <v>344</v>
      </c>
      <c r="C1" s="144" t="s">
        <v>359</v>
      </c>
      <c r="D1" s="144" t="s">
        <v>360</v>
      </c>
      <c r="E1" s="144" t="s">
        <v>361</v>
      </c>
      <c r="F1" s="144" t="s">
        <v>362</v>
      </c>
    </row>
    <row r="2" spans="1:10" x14ac:dyDescent="0.25">
      <c r="A2" s="2" t="s">
        <v>363</v>
      </c>
      <c r="B2" s="2" t="s">
        <v>364</v>
      </c>
      <c r="C2" s="2">
        <v>50</v>
      </c>
      <c r="D2" s="2">
        <v>10</v>
      </c>
      <c r="E2" s="2">
        <v>5</v>
      </c>
      <c r="F2" s="2">
        <v>55</v>
      </c>
      <c r="H2" s="23" t="s">
        <v>381</v>
      </c>
    </row>
    <row r="3" spans="1:10" x14ac:dyDescent="0.25">
      <c r="A3" s="2" t="s">
        <v>365</v>
      </c>
      <c r="B3" s="2" t="s">
        <v>364</v>
      </c>
      <c r="C3" s="2">
        <v>100</v>
      </c>
      <c r="D3" s="2">
        <v>20</v>
      </c>
      <c r="E3" s="2">
        <v>15</v>
      </c>
      <c r="F3" s="2">
        <v>105</v>
      </c>
    </row>
    <row r="4" spans="1:10" x14ac:dyDescent="0.25">
      <c r="A4" s="2" t="s">
        <v>366</v>
      </c>
      <c r="B4" s="2" t="s">
        <v>367</v>
      </c>
      <c r="C4" s="2">
        <v>30</v>
      </c>
      <c r="D4" s="2">
        <v>8</v>
      </c>
      <c r="E4" s="2">
        <v>4</v>
      </c>
      <c r="F4" s="2">
        <v>34</v>
      </c>
      <c r="H4" s="153" t="s">
        <v>286</v>
      </c>
      <c r="I4" t="s">
        <v>382</v>
      </c>
      <c r="J4" t="s">
        <v>383</v>
      </c>
    </row>
    <row r="5" spans="1:10" x14ac:dyDescent="0.25">
      <c r="A5" s="2" t="s">
        <v>368</v>
      </c>
      <c r="B5" s="2" t="s">
        <v>369</v>
      </c>
      <c r="C5" s="2">
        <v>40</v>
      </c>
      <c r="D5" s="2">
        <v>10</v>
      </c>
      <c r="E5" s="2">
        <v>6</v>
      </c>
      <c r="F5" s="2">
        <v>44</v>
      </c>
      <c r="H5" s="80" t="s">
        <v>366</v>
      </c>
      <c r="I5" s="154">
        <v>30</v>
      </c>
      <c r="J5" s="154">
        <v>34</v>
      </c>
    </row>
    <row r="6" spans="1:10" x14ac:dyDescent="0.25">
      <c r="A6" s="2" t="s">
        <v>370</v>
      </c>
      <c r="B6" s="2" t="s">
        <v>364</v>
      </c>
      <c r="C6" s="2">
        <v>60</v>
      </c>
      <c r="D6" s="2">
        <v>12</v>
      </c>
      <c r="E6" s="2">
        <v>8</v>
      </c>
      <c r="F6" s="2">
        <v>64</v>
      </c>
      <c r="H6" s="80" t="s">
        <v>363</v>
      </c>
      <c r="I6" s="154">
        <v>50</v>
      </c>
      <c r="J6" s="154">
        <v>55</v>
      </c>
    </row>
    <row r="7" spans="1:10" x14ac:dyDescent="0.25">
      <c r="A7" s="2" t="s">
        <v>371</v>
      </c>
      <c r="B7" s="2" t="s">
        <v>372</v>
      </c>
      <c r="C7" s="2">
        <v>25</v>
      </c>
      <c r="D7" s="2">
        <v>5</v>
      </c>
      <c r="E7" s="2">
        <v>3</v>
      </c>
      <c r="F7" s="2">
        <v>27</v>
      </c>
      <c r="H7" s="80" t="s">
        <v>377</v>
      </c>
      <c r="I7" s="154">
        <v>20</v>
      </c>
      <c r="J7" s="154">
        <v>22</v>
      </c>
    </row>
    <row r="8" spans="1:10" x14ac:dyDescent="0.25">
      <c r="A8" s="2" t="s">
        <v>373</v>
      </c>
      <c r="B8" s="2" t="s">
        <v>374</v>
      </c>
      <c r="C8" s="2">
        <v>15</v>
      </c>
      <c r="D8" s="2">
        <v>5</v>
      </c>
      <c r="E8" s="2">
        <v>2</v>
      </c>
      <c r="F8" s="2">
        <v>18</v>
      </c>
      <c r="H8" s="80" t="s">
        <v>370</v>
      </c>
      <c r="I8" s="154">
        <v>60</v>
      </c>
      <c r="J8" s="154">
        <v>64</v>
      </c>
    </row>
    <row r="9" spans="1:10" x14ac:dyDescent="0.25">
      <c r="A9" s="2" t="s">
        <v>375</v>
      </c>
      <c r="B9" s="2" t="s">
        <v>376</v>
      </c>
      <c r="C9" s="2">
        <v>40</v>
      </c>
      <c r="D9" s="2">
        <v>8</v>
      </c>
      <c r="E9" s="2">
        <v>10</v>
      </c>
      <c r="F9" s="2">
        <v>38</v>
      </c>
      <c r="H9" s="80" t="s">
        <v>373</v>
      </c>
      <c r="I9" s="154">
        <v>15</v>
      </c>
      <c r="J9" s="154">
        <v>18</v>
      </c>
    </row>
    <row r="10" spans="1:10" x14ac:dyDescent="0.25">
      <c r="A10" s="2" t="s">
        <v>377</v>
      </c>
      <c r="B10" s="2" t="s">
        <v>378</v>
      </c>
      <c r="C10" s="2">
        <v>20</v>
      </c>
      <c r="D10" s="2">
        <v>6</v>
      </c>
      <c r="E10" s="2">
        <v>4</v>
      </c>
      <c r="F10" s="2">
        <v>22</v>
      </c>
      <c r="H10" s="80" t="s">
        <v>371</v>
      </c>
      <c r="I10" s="154">
        <v>25</v>
      </c>
      <c r="J10" s="154">
        <v>27</v>
      </c>
    </row>
    <row r="11" spans="1:10" x14ac:dyDescent="0.25">
      <c r="A11" s="2" t="s">
        <v>379</v>
      </c>
      <c r="B11" s="2" t="s">
        <v>380</v>
      </c>
      <c r="C11" s="2">
        <v>50</v>
      </c>
      <c r="D11" s="2">
        <v>10</v>
      </c>
      <c r="E11" s="2">
        <v>6</v>
      </c>
      <c r="F11" s="2">
        <v>54</v>
      </c>
      <c r="H11" s="80" t="s">
        <v>368</v>
      </c>
      <c r="I11" s="154">
        <v>40</v>
      </c>
      <c r="J11" s="154">
        <v>44</v>
      </c>
    </row>
    <row r="12" spans="1:10" x14ac:dyDescent="0.25">
      <c r="H12" s="80" t="s">
        <v>365</v>
      </c>
      <c r="I12" s="154">
        <v>100</v>
      </c>
      <c r="J12" s="154">
        <v>105</v>
      </c>
    </row>
    <row r="13" spans="1:10" x14ac:dyDescent="0.25">
      <c r="H13" s="80" t="s">
        <v>379</v>
      </c>
      <c r="I13" s="154">
        <v>50</v>
      </c>
      <c r="J13" s="154">
        <v>54</v>
      </c>
    </row>
    <row r="14" spans="1:10" x14ac:dyDescent="0.25">
      <c r="H14" s="80" t="s">
        <v>375</v>
      </c>
      <c r="I14" s="154">
        <v>40</v>
      </c>
      <c r="J14" s="154">
        <v>38</v>
      </c>
    </row>
    <row r="15" spans="1:10" x14ac:dyDescent="0.25">
      <c r="H15" s="80" t="s">
        <v>285</v>
      </c>
      <c r="I15" s="154">
        <v>430</v>
      </c>
      <c r="J15" s="154">
        <v>461</v>
      </c>
    </row>
  </sheetData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Drop Down 2">
              <controlPr defaultSize="0" autoLine="0" autoPict="0">
                <anchor moveWithCells="1"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8</xdr:col>
                    <xdr:colOff>1228725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2AAB60-8068-45FC-8E0E-16DAA1533D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Intervalos Nomeados</vt:lpstr>
      </vt:variant>
      <vt:variant>
        <vt:i4>10</vt:i4>
      </vt:variant>
    </vt:vector>
  </HeadingPairs>
  <TitlesOfParts>
    <vt:vector size="48" baseType="lpstr">
      <vt:lpstr>1</vt:lpstr>
      <vt:lpstr>2</vt:lpstr>
      <vt:lpstr>3</vt:lpstr>
      <vt:lpstr>4</vt:lpstr>
      <vt:lpstr>5</vt:lpstr>
      <vt:lpstr>6</vt:lpstr>
      <vt:lpstr>6 - Previsões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22 - Tabela Dinâmica</vt:lpstr>
      <vt:lpstr>23</vt:lpstr>
      <vt:lpstr>23 - Gráfico Dinâmico</vt:lpstr>
      <vt:lpstr>24</vt:lpstr>
      <vt:lpstr>26</vt:lpstr>
      <vt:lpstr>28</vt:lpstr>
      <vt:lpstr>30</vt:lpstr>
      <vt:lpstr>31</vt:lpstr>
      <vt:lpstr>33</vt:lpstr>
      <vt:lpstr>34</vt:lpstr>
      <vt:lpstr>35</vt:lpstr>
      <vt:lpstr>36</vt:lpstr>
      <vt:lpstr>37</vt:lpstr>
      <vt:lpstr>38</vt:lpstr>
      <vt:lpstr>42</vt:lpstr>
      <vt:lpstr>'4'!Criterios</vt:lpstr>
      <vt:lpstr>ID_1</vt:lpstr>
      <vt:lpstr>ID_2</vt:lpstr>
      <vt:lpstr>ID_3</vt:lpstr>
      <vt:lpstr>ID_4</vt:lpstr>
      <vt:lpstr>ID_5</vt:lpstr>
      <vt:lpstr>ID_6</vt:lpstr>
      <vt:lpstr>ID_7</vt:lpstr>
      <vt:lpstr>ListaFrutas</vt:lpstr>
      <vt:lpstr>tabela_teste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Instrutor</dc:creator>
  <cp:lastModifiedBy>stark</cp:lastModifiedBy>
  <dcterms:created xsi:type="dcterms:W3CDTF">2023-06-13T12:13:16Z</dcterms:created>
  <dcterms:modified xsi:type="dcterms:W3CDTF">2023-06-15T21:04:41Z</dcterms:modified>
</cp:coreProperties>
</file>